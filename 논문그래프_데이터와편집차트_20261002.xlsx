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drawings/charts/chart9.xml" ContentType="application/vnd.openxmlformats-officedocument.drawingml.chart+xml"/>
  <Override PartName="/xl/drawings/charts/chart10.xml" ContentType="application/vnd.openxmlformats-officedocument.drawingml.chart+xml"/>
  <Override PartName="/xl/drawings/charts/chart11.xml" ContentType="application/vnd.openxmlformats-officedocument.drawingml.chart+xml"/>
  <Override PartName="/xl/drawings/charts/chart12.xml" ContentType="application/vnd.openxmlformats-officedocument.drawingml.chart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drawings/charts/chart13.xml" ContentType="application/vnd.openxmlformats-officedocument.drawingml.chart+xml"/>
  <Override PartName="/xl/drawings/charts/chart14.xml" ContentType="application/vnd.openxmlformats-officedocument.drawingml.chart+xml"/>
  <Override PartName="/xl/drawings/charts/chart15.xml" ContentType="application/vnd.openxmlformats-officedocument.drawingml.chart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drawings/charts/chart16.xml" ContentType="application/vnd.openxmlformats-officedocument.drawingml.chart+xml"/>
  <Override PartName="/xl/drawings/charts/chart17.xml" ContentType="application/vnd.openxmlformats-officedocument.drawingml.chart+xml"/>
  <Override PartName="/xl/drawings/charts/chart18.xml" ContentType="application/vnd.openxmlformats-officedocument.drawingml.chart+xml"/>
  <Override PartName="/xl/drawings/charts/chart19.xml" ContentType="application/vnd.openxmlformats-officedocument.drawingml.chart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drawings/charts/chart20.xml" ContentType="application/vnd.openxmlformats-officedocument.drawingml.chart+xml"/>
  <Override PartName="/xl/drawings/charts/chart21.xml" ContentType="application/vnd.openxmlformats-officedocument.drawingml.chart+xml"/>
  <Override PartName="/xl/drawings/charts/chart22.xml" ContentType="application/vnd.openxmlformats-officedocument.drawingml.chart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drawings/charts/chart23.xml" ContentType="application/vnd.openxmlformats-officedocument.drawingml.chart+xml"/>
  <Override PartName="/xl/drawings/charts/chart24.xml" ContentType="application/vnd.openxmlformats-officedocument.drawingml.chart+xml"/>
  <Override PartName="/xl/drawings/charts/chart25.xml" ContentType="application/vnd.openxmlformats-officedocument.drawingml.chart+xml"/>
  <Override PartName="/xl/drawings/charts/chart26.xml" ContentType="application/vnd.openxmlformats-officedocument.drawingml.chart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drawings/charts/chart27.xml" ContentType="application/vnd.openxmlformats-officedocument.drawingml.chart+xml"/>
  <Override PartName="/xl/drawings/charts/chart28.xml" ContentType="application/vnd.openxmlformats-officedocument.drawingml.chart+xml"/>
  <Override PartName="/xl/drawings/charts/chart29.xml" ContentType="application/vnd.openxmlformats-officedocument.drawingml.chart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drawings/charts/chart30.xml" ContentType="application/vnd.openxmlformats-officedocument.drawingml.chart+xml"/>
  <Override PartName="/xl/drawings/charts/chart31.xml" ContentType="application/vnd.openxmlformats-officedocument.drawingml.chart+xml"/>
  <Override PartName="/xl/drawings/charts/chart32.xml" ContentType="application/vnd.openxmlformats-officedocument.drawingml.chart+xml"/>
  <Override PartName="/xl/drawings/charts/chart33.xml" ContentType="application/vnd.openxmlformats-officedocument.drawingml.chart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drawings/charts/chart34.xml" ContentType="application/vnd.openxmlformats-officedocument.drawingml.chart+xml"/>
  <Override PartName="/xl/drawings/charts/chart35.xml" ContentType="application/vnd.openxmlformats-officedocument.drawingml.chart+xml"/>
  <Override PartName="/xl/drawings/charts/chart36.xml" ContentType="application/vnd.openxmlformats-officedocument.drawingml.chart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drawings/charts/chart37.xml" ContentType="application/vnd.openxmlformats-officedocument.drawingml.chart+xml"/>
  <Override PartName="/xl/drawings/charts/chart38.xml" ContentType="application/vnd.openxmlformats-officedocument.drawingml.chart+xml"/>
  <Override PartName="/xl/drawings/charts/chart39.xml" ContentType="application/vnd.openxmlformats-officedocument.drawingml.chart+xml"/>
  <Override PartName="/xl/drawings/charts/chart40.xml" ContentType="application/vnd.openxmlformats-officedocument.drawingml.chart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drawings/charts/chart41.xml" ContentType="application/vnd.openxmlformats-officedocument.drawingml.chart+xml"/>
  <Override PartName="/xl/drawings/charts/chart42.xml" ContentType="application/vnd.openxmlformats-officedocument.drawingml.chart+xml"/>
  <Override PartName="/xl/drawings/charts/chart43.xml" ContentType="application/vnd.openxmlformats-officedocument.drawingml.chart+xml"/>
  <Override PartName="/xl/drawings/charts/chart44.xml" ContentType="application/vnd.openxmlformats-officedocument.drawingml.chart+xml"/>
  <Override PartName="/xl/worksheets/sheet15.xml" ContentType="application/vnd.openxmlformats-officedocument.spreadsheetml.worksheet+xml"/>
  <Override PartName="/xl/drawings/drawing14.xml" ContentType="application/vnd.openxmlformats-officedocument.drawing+xml"/>
  <Override PartName="/xl/drawings/charts/chart45.xml" ContentType="application/vnd.openxmlformats-officedocument.drawingml.chart+xml"/>
  <Override PartName="/xl/drawings/charts/chart46.xml" ContentType="application/vnd.openxmlformats-officedocument.drawingml.chart+xml"/>
  <Override PartName="/xl/drawings/charts/chart47.xml" ContentType="application/vnd.openxmlformats-officedocument.drawingml.chart+xml"/>
  <Override PartName="/xl/drawings/charts/chart48.xml" ContentType="application/vnd.openxmlformats-officedocument.drawingml.chart+xml"/>
  <Override PartName="/xl/worksheets/sheet16.xml" ContentType="application/vnd.openxmlformats-officedocument.spreadsheetml.worksheet+xml"/>
  <Override PartName="/xl/drawings/drawing15.xml" ContentType="application/vnd.openxmlformats-officedocument.drawing+xml"/>
  <Override PartName="/xl/drawings/charts/chart49.xml" ContentType="application/vnd.openxmlformats-officedocument.drawingml.chart+xml"/>
  <Override PartName="/xl/drawings/charts/chart50.xml" ContentType="application/vnd.openxmlformats-officedocument.drawingml.chart+xml"/>
  <Override PartName="/xl/drawings/charts/chart51.xml" ContentType="application/vnd.openxmlformats-officedocument.drawingml.chart+xml"/>
  <Override PartName="/xl/drawings/charts/chart52.xml" ContentType="application/vnd.openxmlformats-officedocument.drawingml.chart+xml"/>
  <Override PartName="/xl/worksheets/sheet17.xml" ContentType="application/vnd.openxmlformats-officedocument.spreadsheetml.worksheet+xml"/>
  <Override PartName="/xl/drawings/drawing16.xml" ContentType="application/vnd.openxmlformats-officedocument.drawing+xml"/>
  <Override PartName="/xl/drawings/charts/chart53.xml" ContentType="application/vnd.openxmlformats-officedocument.drawingml.chart+xml"/>
  <Override PartName="/xl/drawings/charts/chart54.xml" ContentType="application/vnd.openxmlformats-officedocument.drawingml.chart+xml"/>
  <Override PartName="/xl/drawings/charts/chart55.xml" ContentType="application/vnd.openxmlformats-officedocument.drawingml.chart+xml"/>
  <Override PartName="/xl/drawings/charts/chart56.xml" ContentType="application/vnd.openxmlformats-officedocument.drawingml.chart+xml"/>
  <Override PartName="/xl/worksheets/sheet18.xml" ContentType="application/vnd.openxmlformats-officedocument.spreadsheetml.worksheet+xml"/>
  <Override PartName="/xl/drawings/drawing17.xml" ContentType="application/vnd.openxmlformats-officedocument.drawing+xml"/>
  <Override PartName="/xl/drawings/charts/chart57.xml" ContentType="application/vnd.openxmlformats-officedocument.drawingml.chart+xml"/>
  <Override PartName="/xl/drawings/charts/chart58.xml" ContentType="application/vnd.openxmlformats-officedocument.drawingml.chart+xml"/>
  <Override PartName="/xl/drawings/charts/chart59.xml" ContentType="application/vnd.openxmlformats-officedocument.drawingml.chart+xml"/>
  <Override PartName="/xl/worksheets/sheet19.xml" ContentType="application/vnd.openxmlformats-officedocument.spreadsheetml.worksheet+xml"/>
  <Override PartName="/xl/drawings/drawing18.xml" ContentType="application/vnd.openxmlformats-officedocument.drawing+xml"/>
  <Override PartName="/xl/drawings/charts/chart60.xml" ContentType="application/vnd.openxmlformats-officedocument.drawingml.chart+xml"/>
  <Override PartName="/xl/drawings/charts/chart61.xml" ContentType="application/vnd.openxmlformats-officedocument.drawingml.char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c9017b0ed84a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사용안내" sheetId="1" r:id="R30e74e777a4741d8"/>
    <x:sheet xmlns:r="http://schemas.openxmlformats.org/officeDocument/2006/relationships" name="01_사전특성차이" sheetId="2" r:id="Rada157e68ada4b65"/>
    <x:sheet xmlns:r="http://schemas.openxmlformats.org/officeDocument/2006/relationships" name="02_문화비축기지_인구청년" sheetId="3" r:id="Rf7ce948b6b674646"/>
    <x:sheet xmlns:r="http://schemas.openxmlformats.org/officeDocument/2006/relationships" name="03_문화비축기지_연도별격차" sheetId="4" r:id="Rfbca5c6ca1e847d3"/>
    <x:sheet xmlns:r="http://schemas.openxmlformats.org/officeDocument/2006/relationships" name="04_F1963_인구청년" sheetId="5" r:id="R861fb15efa16430d"/>
    <x:sheet xmlns:r="http://schemas.openxmlformats.org/officeDocument/2006/relationships" name="05_F1963_연도별격차" sheetId="6" r:id="Ra7118e264c0b4b56"/>
    <x:sheet xmlns:r="http://schemas.openxmlformats.org/officeDocument/2006/relationships" name="06_고색뉴지엄_인구청년" sheetId="7" r:id="R59e9534b7ae54f94"/>
    <x:sheet xmlns:r="http://schemas.openxmlformats.org/officeDocument/2006/relationships" name="07_고색뉴지엄_연도별격차" sheetId="8" r:id="Rce64ac5211024f0c"/>
    <x:sheet xmlns:r="http://schemas.openxmlformats.org/officeDocument/2006/relationships" name="08_청주 미술관_인구청년" sheetId="9" r:id="R252535fb02954c1e"/>
    <x:sheet xmlns:r="http://schemas.openxmlformats.org/officeDocument/2006/relationships" name="09_청주 미술관_연도별격차" sheetId="10" r:id="R10506e5d9b4a4ded"/>
    <x:sheet xmlns:r="http://schemas.openxmlformats.org/officeDocument/2006/relationships" name="10_팔복예술공장_인구청년" sheetId="11" r:id="Rf38fc369aed44e27"/>
    <x:sheet xmlns:r="http://schemas.openxmlformats.org/officeDocument/2006/relationships" name="11_팔복예술공장_연도별격차" sheetId="12" r:id="R88b6528f040f4685"/>
    <x:sheet xmlns:r="http://schemas.openxmlformats.org/officeDocument/2006/relationships" name="12_문화비축기지_사업체고용" sheetId="13" r:id="Rd74726c8e1324ccb"/>
    <x:sheet xmlns:r="http://schemas.openxmlformats.org/officeDocument/2006/relationships" name="13_F1963_사업체고용" sheetId="14" r:id="R3749f66fd305492a"/>
    <x:sheet xmlns:r="http://schemas.openxmlformats.org/officeDocument/2006/relationships" name="14_고색뉴지엄_사업체고용" sheetId="15" r:id="R55f65d806e24458f"/>
    <x:sheet xmlns:r="http://schemas.openxmlformats.org/officeDocument/2006/relationships" name="15_청주 미술관_사업체고용" sheetId="16" r:id="Rf79a69cc41344264"/>
    <x:sheet xmlns:r="http://schemas.openxmlformats.org/officeDocument/2006/relationships" name="16_팔복예술공장_사업체고용" sheetId="17" r:id="Rcd16763f293d4a6f"/>
    <x:sheet xmlns:r="http://schemas.openxmlformats.org/officeDocument/2006/relationships" name="17_매칭비율" sheetId="18" r:id="R44d99880eac14c3b"/>
    <x:sheet xmlns:r="http://schemas.openxmlformats.org/officeDocument/2006/relationships" name="18_기간과추세" sheetId="19" r:id="R2820966752ca47a3"/>
    <x:sheet xmlns:r="http://schemas.openxmlformats.org/officeDocument/2006/relationships" name="19_분석실행기록" sheetId="20" r:id="R1ad36117119a4fb5"/>
  </x:sheets>
  <x:calcPr calcMode="auto" fullCalcOnLoad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"/>
    <x:numFmt numFmtId="201" formatCode="0"/>
    <x:numFmt numFmtId="202" formatCode="#,##0.0"/>
    <x:numFmt numFmtId="203" formatCode="0.00"/>
    <x:numFmt numFmtId="204" formatCode="0.00E+00"/>
  </x:numFmts>
  <x:fonts count="4">
    <x:font>
      <x:sz val="11"/>
      <x:name val="Carlito"/>
    </x:font>
    <x:font>
      <x:sz val="11"/>
      <x:color rgb="FF000000"/>
      <x:name val="Malgun Gothic"/>
    </x:font>
    <x:font>
      <x:b/>
      <x:sz val="14"/>
      <x:color rgb="FF000000"/>
      <x:name val="Malgun Gothic"/>
    </x:font>
    <x:font>
      <x:b/>
      <x:sz val="11"/>
      <x:color rgb="FF000000"/>
      <x:name val="Malgun Gothic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200" fontId="1" fillId="0" borderId="1" xfId="0" applyNumberFormat="1" applyFont="1" applyFill="1" applyBorder="1"/>
    <x:xf numFmtId="201" fontId="1" fillId="0" borderId="1" xfId="0" applyNumberFormat="1" applyFont="1" applyFill="1" applyBorder="1"/>
    <x:xf numFmtId="202" fontId="1" fillId="0" borderId="1" xfId="0" applyNumberFormat="1" applyFont="1" applyFill="1" applyBorder="1"/>
    <x:xf numFmtId="203" fontId="1" fillId="0" borderId="1" xfId="0" applyNumberFormat="1" applyFont="1" applyFill="1" applyBorder="1"/>
    <x:xf numFmtId="204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2e41705f984462" /><Relationship Type="http://schemas.openxmlformats.org/officeDocument/2006/relationships/theme" Target="/xl/theme/theme1.xml" Id="R3f9eb783c1b64cd7" /><Relationship Type="http://schemas.openxmlformats.org/officeDocument/2006/relationships/sharedStrings" Target="/xl/sharedStrings.xml" Id="Ra554049b6b88414e" /><Relationship Type="http://schemas.openxmlformats.org/officeDocument/2006/relationships/worksheet" Target="/xl/worksheets/sheet1.xml" Id="R30e74e777a4741d8" /><Relationship Type="http://schemas.openxmlformats.org/officeDocument/2006/relationships/worksheet" Target="/xl/worksheets/sheet2.xml" Id="Rada157e68ada4b65" /><Relationship Type="http://schemas.openxmlformats.org/officeDocument/2006/relationships/worksheet" Target="/xl/worksheets/sheet3.xml" Id="Rf7ce948b6b674646" /><Relationship Type="http://schemas.openxmlformats.org/officeDocument/2006/relationships/worksheet" Target="/xl/worksheets/sheet4.xml" Id="Rfbca5c6ca1e847d3" /><Relationship Type="http://schemas.openxmlformats.org/officeDocument/2006/relationships/worksheet" Target="/xl/worksheets/sheet5.xml" Id="R861fb15efa16430d" /><Relationship Type="http://schemas.openxmlformats.org/officeDocument/2006/relationships/worksheet" Target="/xl/worksheets/sheet6.xml" Id="Ra7118e264c0b4b56" /><Relationship Type="http://schemas.openxmlformats.org/officeDocument/2006/relationships/worksheet" Target="/xl/worksheets/sheet7.xml" Id="R59e9534b7ae54f94" /><Relationship Type="http://schemas.openxmlformats.org/officeDocument/2006/relationships/worksheet" Target="/xl/worksheets/sheet8.xml" Id="Rce64ac5211024f0c" /><Relationship Type="http://schemas.openxmlformats.org/officeDocument/2006/relationships/worksheet" Target="/xl/worksheets/sheet9.xml" Id="R252535fb02954c1e" /><Relationship Type="http://schemas.openxmlformats.org/officeDocument/2006/relationships/worksheet" Target="/xl/worksheets/sheet10.xml" Id="R10506e5d9b4a4ded" /><Relationship Type="http://schemas.openxmlformats.org/officeDocument/2006/relationships/worksheet" Target="/xl/worksheets/sheet11.xml" Id="Rf38fc369aed44e27" /><Relationship Type="http://schemas.openxmlformats.org/officeDocument/2006/relationships/worksheet" Target="/xl/worksheets/sheet12.xml" Id="R88b6528f040f4685" /><Relationship Type="http://schemas.openxmlformats.org/officeDocument/2006/relationships/worksheet" Target="/xl/worksheets/sheet13.xml" Id="Rd74726c8e1324ccb" /><Relationship Type="http://schemas.openxmlformats.org/officeDocument/2006/relationships/worksheet" Target="/xl/worksheets/sheet14.xml" Id="R3749f66fd305492a" /><Relationship Type="http://schemas.openxmlformats.org/officeDocument/2006/relationships/worksheet" Target="/xl/worksheets/sheet15.xml" Id="R55f65d806e24458f" /><Relationship Type="http://schemas.openxmlformats.org/officeDocument/2006/relationships/worksheet" Target="/xl/worksheets/sheet16.xml" Id="Rf79a69cc41344264" /><Relationship Type="http://schemas.openxmlformats.org/officeDocument/2006/relationships/worksheet" Target="/xl/worksheets/sheet17.xml" Id="Rcd16763f293d4a6f" /><Relationship Type="http://schemas.openxmlformats.org/officeDocument/2006/relationships/worksheet" Target="/xl/worksheets/sheet18.xml" Id="R44d99880eac14c3b" /><Relationship Type="http://schemas.openxmlformats.org/officeDocument/2006/relationships/worksheet" Target="/xl/worksheets/sheet19.xml" Id="R2820966752ca47a3" /><Relationship Type="http://schemas.openxmlformats.org/officeDocument/2006/relationships/worksheet" Target="/xl/worksheets/sheet20.xml" Id="R1ad36117119a4fb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6ac788d83994ff0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673e749830f941c2" /><Relationship Type="http://schemas.openxmlformats.org/officeDocument/2006/relationships/chart" Target="/xl/drawings/charts/chart3.xml" Id="Rf846e3d4c8324a54" /><Relationship Type="http://schemas.openxmlformats.org/officeDocument/2006/relationships/chart" Target="/xl/drawings/charts/chart4.xml" Id="Ra2d07c698d694779" /><Relationship Type="http://schemas.openxmlformats.org/officeDocument/2006/relationships/chart" Target="/xl/drawings/charts/chart5.xml" Id="R65714fe2f0064d59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02b8ab8347074430" /><Relationship Type="http://schemas.openxmlformats.org/officeDocument/2006/relationships/chart" Target="/xl/drawings/charts/chart7.xml" Id="R821eed30f14a490b" /><Relationship Type="http://schemas.openxmlformats.org/officeDocument/2006/relationships/chart" Target="/xl/drawings/charts/chart8.xml" Id="R6ffd9fe839834af5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9.xml" Id="R163fe1a5b6ca474e" /><Relationship Type="http://schemas.openxmlformats.org/officeDocument/2006/relationships/chart" Target="/xl/drawings/charts/chart10.xml" Id="R1726612b14de4b26" /><Relationship Type="http://schemas.openxmlformats.org/officeDocument/2006/relationships/chart" Target="/xl/drawings/charts/chart11.xml" Id="R31983801206a4306" /><Relationship Type="http://schemas.openxmlformats.org/officeDocument/2006/relationships/chart" Target="/xl/drawings/charts/chart12.xml" Id="Rca1346bc0a5b4701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13.xml" Id="R012f89099a154216" /><Relationship Type="http://schemas.openxmlformats.org/officeDocument/2006/relationships/chart" Target="/xl/drawings/charts/chart14.xml" Id="Rba8c7cf9a05c4e85" /><Relationship Type="http://schemas.openxmlformats.org/officeDocument/2006/relationships/chart" Target="/xl/drawings/charts/chart15.xml" Id="Re07c507d3f0f4243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chart" Target="/xl/drawings/charts/chart16.xml" Id="Rbcab2523adea472d" /><Relationship Type="http://schemas.openxmlformats.org/officeDocument/2006/relationships/chart" Target="/xl/drawings/charts/chart17.xml" Id="Rb3fe570f2f3241ea" /><Relationship Type="http://schemas.openxmlformats.org/officeDocument/2006/relationships/chart" Target="/xl/drawings/charts/chart18.xml" Id="Rc27eea716e554dbf" /><Relationship Type="http://schemas.openxmlformats.org/officeDocument/2006/relationships/chart" Target="/xl/drawings/charts/chart19.xml" Id="R61b77b284f704e1d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chart" Target="/xl/drawings/charts/chart20.xml" Id="Rf44d47b1f1fb4306" /><Relationship Type="http://schemas.openxmlformats.org/officeDocument/2006/relationships/chart" Target="/xl/drawings/charts/chart21.xml" Id="R8c2144a9bc614dad" /><Relationship Type="http://schemas.openxmlformats.org/officeDocument/2006/relationships/chart" Target="/xl/drawings/charts/chart22.xml" Id="R18c2a43a18a24c95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chart" Target="/xl/drawings/charts/chart23.xml" Id="Rec16ac35582d4cf7" /><Relationship Type="http://schemas.openxmlformats.org/officeDocument/2006/relationships/chart" Target="/xl/drawings/charts/chart24.xml" Id="R808e789bc9a84ee0" /><Relationship Type="http://schemas.openxmlformats.org/officeDocument/2006/relationships/chart" Target="/xl/drawings/charts/chart25.xml" Id="Raf105337e0f440b5" /><Relationship Type="http://schemas.openxmlformats.org/officeDocument/2006/relationships/chart" Target="/xl/drawings/charts/chart26.xml" Id="Rfb5fcb1b26a84d3d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chart" Target="/xl/drawings/charts/chart27.xml" Id="R861856f4db1a4a80" /><Relationship Type="http://schemas.openxmlformats.org/officeDocument/2006/relationships/chart" Target="/xl/drawings/charts/chart28.xml" Id="R2a1ca87348b84125" /><Relationship Type="http://schemas.openxmlformats.org/officeDocument/2006/relationships/chart" Target="/xl/drawings/charts/chart29.xml" Id="Rc4e7c8a082dd4231" /></Relationships>
</file>

<file path=xl/drawings/_rels/drawing10.xml.rels>&#65279;<?xml version="1.0" encoding="utf-8"?><Relationships xmlns="http://schemas.openxmlformats.org/package/2006/relationships"><Relationship Type="http://schemas.openxmlformats.org/officeDocument/2006/relationships/chart" Target="/xl/drawings/charts/chart30.xml" Id="R1c3841b278104739" /><Relationship Type="http://schemas.openxmlformats.org/officeDocument/2006/relationships/chart" Target="/xl/drawings/charts/chart31.xml" Id="Rfb21736ccbd34a83" /><Relationship Type="http://schemas.openxmlformats.org/officeDocument/2006/relationships/chart" Target="/xl/drawings/charts/chart32.xml" Id="Rc4c0abb0fcbc410e" /><Relationship Type="http://schemas.openxmlformats.org/officeDocument/2006/relationships/chart" Target="/xl/drawings/charts/chart33.xml" Id="R59b2b783b2474818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chart" Target="/xl/drawings/charts/chart34.xml" Id="R61f5995fb9694d1e" /><Relationship Type="http://schemas.openxmlformats.org/officeDocument/2006/relationships/chart" Target="/xl/drawings/charts/chart35.xml" Id="R287f31be24184317" /><Relationship Type="http://schemas.openxmlformats.org/officeDocument/2006/relationships/chart" Target="/xl/drawings/charts/chart36.xml" Id="Rf765db18cc9a4d48" /></Relationships>
</file>

<file path=xl/drawings/_rels/drawing12.xml.rels>&#65279;<?xml version="1.0" encoding="utf-8"?><Relationships xmlns="http://schemas.openxmlformats.org/package/2006/relationships"><Relationship Type="http://schemas.openxmlformats.org/officeDocument/2006/relationships/chart" Target="/xl/drawings/charts/chart37.xml" Id="Raf7e119e9bbf43ef" /><Relationship Type="http://schemas.openxmlformats.org/officeDocument/2006/relationships/chart" Target="/xl/drawings/charts/chart38.xml" Id="R2e8e27f4ff644cfb" /><Relationship Type="http://schemas.openxmlformats.org/officeDocument/2006/relationships/chart" Target="/xl/drawings/charts/chart39.xml" Id="R50b40881a73846ff" /><Relationship Type="http://schemas.openxmlformats.org/officeDocument/2006/relationships/chart" Target="/xl/drawings/charts/chart40.xml" Id="Rd3697b1231fd4844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chart" Target="/xl/drawings/charts/chart41.xml" Id="R5f71acd8c8b345e6" /><Relationship Type="http://schemas.openxmlformats.org/officeDocument/2006/relationships/chart" Target="/xl/drawings/charts/chart42.xml" Id="R0fc48319b30643b8" /><Relationship Type="http://schemas.openxmlformats.org/officeDocument/2006/relationships/chart" Target="/xl/drawings/charts/chart43.xml" Id="Rf7dea46d00cd44a3" /><Relationship Type="http://schemas.openxmlformats.org/officeDocument/2006/relationships/chart" Target="/xl/drawings/charts/chart44.xml" Id="R4829c8ebbc22405f" /></Relationships>
</file>

<file path=xl/drawings/_rels/drawing14.xml.rels>&#65279;<?xml version="1.0" encoding="utf-8"?><Relationships xmlns="http://schemas.openxmlformats.org/package/2006/relationships"><Relationship Type="http://schemas.openxmlformats.org/officeDocument/2006/relationships/chart" Target="/xl/drawings/charts/chart45.xml" Id="Rfd3ae8aa5e42473e" /><Relationship Type="http://schemas.openxmlformats.org/officeDocument/2006/relationships/chart" Target="/xl/drawings/charts/chart46.xml" Id="Rb53d5ac801d14a49" /><Relationship Type="http://schemas.openxmlformats.org/officeDocument/2006/relationships/chart" Target="/xl/drawings/charts/chart47.xml" Id="Rb62736c9cb344626" /><Relationship Type="http://schemas.openxmlformats.org/officeDocument/2006/relationships/chart" Target="/xl/drawings/charts/chart48.xml" Id="Rbf84395c8e4b4215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chart" Target="/xl/drawings/charts/chart49.xml" Id="Rda727517f1964fea" /><Relationship Type="http://schemas.openxmlformats.org/officeDocument/2006/relationships/chart" Target="/xl/drawings/charts/chart50.xml" Id="R19ac89646dd9469b" /><Relationship Type="http://schemas.openxmlformats.org/officeDocument/2006/relationships/chart" Target="/xl/drawings/charts/chart51.xml" Id="Ra4165c5720f04e16" /><Relationship Type="http://schemas.openxmlformats.org/officeDocument/2006/relationships/chart" Target="/xl/drawings/charts/chart52.xml" Id="R355895de4a644a4d" /></Relationships>
</file>

<file path=xl/drawings/_rels/drawing16.xml.rels>&#65279;<?xml version="1.0" encoding="utf-8"?><Relationships xmlns="http://schemas.openxmlformats.org/package/2006/relationships"><Relationship Type="http://schemas.openxmlformats.org/officeDocument/2006/relationships/chart" Target="/xl/drawings/charts/chart53.xml" Id="R3f18e3c85a9147fc" /><Relationship Type="http://schemas.openxmlformats.org/officeDocument/2006/relationships/chart" Target="/xl/drawings/charts/chart54.xml" Id="Rd3d9d8ddea554166" /><Relationship Type="http://schemas.openxmlformats.org/officeDocument/2006/relationships/chart" Target="/xl/drawings/charts/chart55.xml" Id="R22cdc08ea34b4982" /><Relationship Type="http://schemas.openxmlformats.org/officeDocument/2006/relationships/chart" Target="/xl/drawings/charts/chart56.xml" Id="R65af193385a24797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chart" Target="/xl/drawings/charts/chart57.xml" Id="R50391f7311374ffb" /><Relationship Type="http://schemas.openxmlformats.org/officeDocument/2006/relationships/chart" Target="/xl/drawings/charts/chart58.xml" Id="R46316e04718e42a3" /><Relationship Type="http://schemas.openxmlformats.org/officeDocument/2006/relationships/chart" Target="/xl/drawings/charts/chart59.xml" Id="R7cf9784e2d4445c1" /></Relationships>
</file>

<file path=xl/drawings/_rels/drawing18.xml.rels>&#65279;<?xml version="1.0" encoding="utf-8"?><Relationships xmlns="http://schemas.openxmlformats.org/package/2006/relationships"><Relationship Type="http://schemas.openxmlformats.org/officeDocument/2006/relationships/chart" Target="/xl/drawings/charts/chart60.xml" Id="R32b3a5d5b6fb4ae3" /><Relationship Type="http://schemas.openxmlformats.org/officeDocument/2006/relationships/chart" Target="/xl/drawings/charts/chart61.xml" Id="R979dfce0ad69474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Malgun Gothic"/>
                <a:ea typeface="Malgun Gothic"/>
                <a:cs typeface="Malgun Gothic"/>
              </a:rPr>
              <a:t>매칭 후 절대 표준화 특성 차이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Malgun Gothic"/>
              <a:ea typeface="Malgun Gothic"/>
              <a:cs typeface="Malgun Gothic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문화비축기지</c:v>
          </c:tx>
          <c:spPr>
            <a:solidFill xmlns:a="http://schemas.openxmlformats.org/drawingml/2006/main">
              <a:srgbClr val="000000"/>
            </a:solidFill>
          </c:spPr>
          <c:cat>
            <c:strRef>
              <c:f>'01_사전특성차이'!$A$18:$A$24</c:f>
              <c:strCache>
                <c:ptCount val="7"/>
                <c:pt idx="0">
                  <c:v>로그 인구</c:v>
                </c:pt>
                <c:pt idx="1">
                  <c:v>청년비율</c:v>
                </c:pt>
                <c:pt idx="2">
                  <c:v>로그(1+사업체)</c:v>
                </c:pt>
                <c:pt idx="3">
                  <c:v>로그(1+종사자)</c:v>
                </c:pt>
                <c:pt idx="4">
                  <c:v>상업 비중</c:v>
                </c:pt>
                <c:pt idx="5">
                  <c:v>제조업 사업체 비중</c:v>
                </c:pt>
                <c:pt idx="6">
                  <c:v>제조업 종사자 비중</c:v>
                </c:pt>
              </c:strCache>
            </c:strRef>
          </c:cat>
          <c:val>
            <c:numRef>
              <c:f>'01_사전특성차이'!$B$18:$B$24</c:f>
              <c:numCache>
                <c:formatCode>0.000</c:formatCode>
                <c:ptCount val="7"/>
                <c:pt idx="0">
                  <c:v>0.6471417654338604</c:v>
                </c:pt>
                <c:pt idx="1">
                  <c:v>0.5981862708698336</c:v>
                </c:pt>
                <c:pt idx="2">
                  <c:v>0.519219684654896</c:v>
                </c:pt>
                <c:pt idx="3">
                  <c:v>0.1697825787941355</c:v>
                </c:pt>
                <c:pt idx="4">
                  <c:v>1.2862360115445608</c:v>
                </c:pt>
                <c:pt idx="5">
                  <c:v>0.9519871874279502</c:v>
                </c:pt>
                <c:pt idx="6">
                  <c:v>1.7101425711373732</c:v>
                </c:pt>
              </c:numCache>
            </c:numRef>
          </c:val>
        </c:ser>
        <c:ser>
          <c:idx val="1"/>
          <c:order val="1"/>
          <c:tx>
            <c:v>F1963</c:v>
          </c:tx>
          <c:spPr>
            <a:solidFill xmlns:a="http://schemas.openxmlformats.org/drawingml/2006/main">
              <a:srgbClr val="777777"/>
            </a:solidFill>
          </c:spPr>
          <c:cat>
            <c:strRef>
              <c:f>'01_사전특성차이'!$A$18:$A$24</c:f>
              <c:strCache>
                <c:ptCount val="7"/>
                <c:pt idx="0">
                  <c:v>로그 인구</c:v>
                </c:pt>
                <c:pt idx="1">
                  <c:v>청년비율</c:v>
                </c:pt>
                <c:pt idx="2">
                  <c:v>로그(1+사업체)</c:v>
                </c:pt>
                <c:pt idx="3">
                  <c:v>로그(1+종사자)</c:v>
                </c:pt>
                <c:pt idx="4">
                  <c:v>상업 비중</c:v>
                </c:pt>
                <c:pt idx="5">
                  <c:v>제조업 사업체 비중</c:v>
                </c:pt>
                <c:pt idx="6">
                  <c:v>제조업 종사자 비중</c:v>
                </c:pt>
              </c:strCache>
            </c:strRef>
          </c:cat>
          <c:val>
            <c:numRef>
              <c:f>'01_사전특성차이'!$C$18:$C$24</c:f>
              <c:numCache>
                <c:formatCode>0.000</c:formatCode>
                <c:ptCount val="7"/>
                <c:pt idx="0">
                  <c:v>0.2015199320832449</c:v>
                </c:pt>
                <c:pt idx="1">
                  <c:v>0.738151956869384</c:v>
                </c:pt>
                <c:pt idx="2">
                  <c:v>0.766092878853383</c:v>
                </c:pt>
                <c:pt idx="3">
                  <c:v>0.8086456364561032</c:v>
                </c:pt>
                <c:pt idx="4">
                  <c:v>0.2776197447701676</c:v>
                </c:pt>
                <c:pt idx="5">
                  <c:v>0.0659142720930794</c:v>
                </c:pt>
                <c:pt idx="6">
                  <c:v>0.2391232425742606</c:v>
                </c:pt>
              </c:numCache>
            </c:numRef>
          </c:val>
        </c:ser>
        <c:ser>
          <c:idx val="2"/>
          <c:order val="2"/>
          <c:tx>
            <c:v>고색뉴지엄</c:v>
          </c:tx>
          <c:spPr>
            <a:solidFill xmlns:a="http://schemas.openxmlformats.org/drawingml/2006/main">
              <a:srgbClr val="333333"/>
            </a:solidFill>
          </c:spPr>
          <c:cat>
            <c:strRef>
              <c:f>'01_사전특성차이'!$A$18:$A$24</c:f>
              <c:strCache>
                <c:ptCount val="7"/>
                <c:pt idx="0">
                  <c:v>로그 인구</c:v>
                </c:pt>
                <c:pt idx="1">
                  <c:v>청년비율</c:v>
                </c:pt>
                <c:pt idx="2">
                  <c:v>로그(1+사업체)</c:v>
                </c:pt>
                <c:pt idx="3">
                  <c:v>로그(1+종사자)</c:v>
                </c:pt>
                <c:pt idx="4">
                  <c:v>상업 비중</c:v>
                </c:pt>
                <c:pt idx="5">
                  <c:v>제조업 사업체 비중</c:v>
                </c:pt>
                <c:pt idx="6">
                  <c:v>제조업 종사자 비중</c:v>
                </c:pt>
              </c:strCache>
            </c:strRef>
          </c:cat>
          <c:val>
            <c:numRef>
              <c:f>'01_사전특성차이'!$D$18:$D$24</c:f>
              <c:numCache>
                <c:formatCode>0.000</c:formatCode>
                <c:ptCount val="7"/>
                <c:pt idx="0">
                  <c:v>0.8439183846007514</c:v>
                </c:pt>
                <c:pt idx="1">
                  <c:v>1.1286690893362743</c:v>
                </c:pt>
                <c:pt idx="2">
                  <c:v>1.344996212323698</c:v>
                </c:pt>
                <c:pt idx="3">
                  <c:v>1.5314885759406025</c:v>
                </c:pt>
                <c:pt idx="4">
                  <c:v>0.2871675412523808</c:v>
                </c:pt>
                <c:pt idx="5">
                  <c:v>1.1685586088649245</c:v>
                </c:pt>
                <c:pt idx="6">
                  <c:v>0.2577293819761117</c:v>
                </c:pt>
              </c:numCache>
            </c:numRef>
          </c:val>
        </c:ser>
        <c:ser>
          <c:idx val="3"/>
          <c:order val="3"/>
          <c:tx>
            <c:v>청주 미술관</c:v>
          </c:tx>
          <c:spPr>
            <a:solidFill xmlns:a="http://schemas.openxmlformats.org/drawingml/2006/main">
              <a:srgbClr val="999999"/>
            </a:solidFill>
          </c:spPr>
          <c:cat>
            <c:strRef>
              <c:f>'01_사전특성차이'!$A$18:$A$24</c:f>
              <c:strCache>
                <c:ptCount val="7"/>
                <c:pt idx="0">
                  <c:v>로그 인구</c:v>
                </c:pt>
                <c:pt idx="1">
                  <c:v>청년비율</c:v>
                </c:pt>
                <c:pt idx="2">
                  <c:v>로그(1+사업체)</c:v>
                </c:pt>
                <c:pt idx="3">
                  <c:v>로그(1+종사자)</c:v>
                </c:pt>
                <c:pt idx="4">
                  <c:v>상업 비중</c:v>
                </c:pt>
                <c:pt idx="5">
                  <c:v>제조업 사업체 비중</c:v>
                </c:pt>
                <c:pt idx="6">
                  <c:v>제조업 종사자 비중</c:v>
                </c:pt>
              </c:strCache>
            </c:strRef>
          </c:cat>
          <c:val>
            <c:numRef>
              <c:f>'01_사전특성차이'!$E$18:$E$24</c:f>
              <c:numCache>
                <c:formatCode>0.000</c:formatCode>
                <c:ptCount val="7"/>
                <c:pt idx="0">
                  <c:v>0.3484077377197919</c:v>
                </c:pt>
                <c:pt idx="1">
                  <c:v>0.0623160550591886</c:v>
                </c:pt>
                <c:pt idx="2">
                  <c:v>0.4330462691281875</c:v>
                </c:pt>
                <c:pt idx="3">
                  <c:v>0.4107124981541881</c:v>
                </c:pt>
                <c:pt idx="4">
                  <c:v>0.5539745297526532</c:v>
                </c:pt>
                <c:pt idx="5">
                  <c:v>0.182163825186089</c:v>
                </c:pt>
                <c:pt idx="6">
                  <c:v>0.433040554726938</c:v>
                </c:pt>
              </c:numCache>
            </c:numRef>
          </c:val>
        </c:ser>
        <c:ser>
          <c:idx val="4"/>
          <c:order val="4"/>
          <c:tx>
            <c:v>팔복예술공장</c:v>
          </c:tx>
          <c:spPr>
            <a:solidFill xmlns:a="http://schemas.openxmlformats.org/drawingml/2006/main">
              <a:srgbClr val="555555"/>
            </a:solidFill>
          </c:spPr>
          <c:cat>
            <c:strRef>
              <c:f>'01_사전특성차이'!$A$18:$A$24</c:f>
              <c:strCache>
                <c:ptCount val="7"/>
                <c:pt idx="0">
                  <c:v>로그 인구</c:v>
                </c:pt>
                <c:pt idx="1">
                  <c:v>청년비율</c:v>
                </c:pt>
                <c:pt idx="2">
                  <c:v>로그(1+사업체)</c:v>
                </c:pt>
                <c:pt idx="3">
                  <c:v>로그(1+종사자)</c:v>
                </c:pt>
                <c:pt idx="4">
                  <c:v>상업 비중</c:v>
                </c:pt>
                <c:pt idx="5">
                  <c:v>제조업 사업체 비중</c:v>
                </c:pt>
                <c:pt idx="6">
                  <c:v>제조업 종사자 비중</c:v>
                </c:pt>
              </c:strCache>
            </c:strRef>
          </c:cat>
          <c:val>
            <c:numRef>
              <c:f>'01_사전특성차이'!$F$18:$F$24</c:f>
              <c:numCache>
                <c:formatCode>0.000</c:formatCode>
                <c:ptCount val="7"/>
                <c:pt idx="0">
                  <c:v>0.731985050193741</c:v>
                </c:pt>
                <c:pt idx="1">
                  <c:v>0.7785661419491465</c:v>
                </c:pt>
                <c:pt idx="2">
                  <c:v>0.2035338967600231</c:v>
                </c:pt>
                <c:pt idx="3">
                  <c:v>0.5237882106879437</c:v>
                </c:pt>
                <c:pt idx="4">
                  <c:v>0.772177421037146</c:v>
                </c:pt>
                <c:pt idx="5">
                  <c:v>1.8191503961685769</c:v>
                </c:pt>
                <c:pt idx="6">
                  <c:v>1.3005774896021534</c:v>
                </c:pt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사전 변수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표준화 차이</a:t>
                </a:r>
              </a:p>
            </c:rich>
          </c:tx>
          <c:overlay val="0"/>
        </c:title>
        <c:numFmt formatCode="#,##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Malgun Gothic"/>
              <a:ea typeface="Malgun Gothic"/>
              <a:cs typeface="Malgun Gothic"/>
            </a:defRPr>
          </a:pPr>
        </a:p>
      </c:txPr>
    </c:legend>
    <c:plotVisOnly val="1"/>
    <c:dispBlanksAs val="gap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Malgun Gothic"/>
                <a:ea typeface="Malgun Gothic"/>
                <a:cs typeface="Malgun Gothic"/>
              </a:rPr>
              <a:t>주민등록인구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Malgun Gothic"/>
              <a:ea typeface="Malgun Gothic"/>
              <a:cs typeface="Malgun Gothic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처치 인구(명)</c:v>
          </c:tx>
          <c:spPr>
            <a:solidFill xmlns:a="http://schemas.openxmlformats.org/drawingml/2006/main">
              <a:srgbClr val="000000"/>
            </a:solidFill>
            <ns0:ln xmlns:ns0="http://schemas.openxmlformats.org/drawingml/2006/main" w="19050">
              <ns0:solidFill>
                <ns0:srgbClr val="000000"/>
              </ns0:solidFill>
              <ns0:prstDash val="solid"/>
            </ns0:ln>
          </c:spPr>
          <c:marker>
            <c:symbol val="circle"/>
            <c:size val="4"/>
            <c:spPr>
              <ns1:solidFill xmlns:ns1="http://schemas.openxmlformats.org/drawingml/2006/main">
                <ns1:srgbClr val="000000"/>
              </ns1:solidFill>
            </c:spPr>
          </c:marker>
          <c:cat>
            <c:strRef>
              <c:f>'02_문화비축기지_인구청년'!$A$7:$A$17</c:f>
              <c:strCache>
                <c:ptCount val="11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</c:strCache>
            </c:strRef>
          </c:cat>
          <c:val>
            <c:numRef>
              <c:f>'02_문화비축기지_인구청년'!$C$7:$C$17</c:f>
              <c:numCache>
                <c:formatCode>#,##0.0</c:formatCode>
                <c:ptCount val="11"/>
                <c:pt idx="0">
                  <c:v>40789</c:v>
                </c:pt>
                <c:pt idx="1">
                  <c:v>40623</c:v>
                </c:pt>
                <c:pt idx="2">
                  <c:v>40275</c:v>
                </c:pt>
                <c:pt idx="3">
                  <c:v>40062</c:v>
                </c:pt>
                <c:pt idx="4">
                  <c:v>39984</c:v>
                </c:pt>
                <c:pt idx="6">
                  <c:v>41478</c:v>
                </c:pt>
                <c:pt idx="7">
                  <c:v>41236</c:v>
                </c:pt>
                <c:pt idx="8">
                  <c:v>40355</c:v>
                </c:pt>
                <c:pt idx="9">
                  <c:v>39608</c:v>
                </c:pt>
                <c:pt idx="10">
                  <c:v>39192</c:v>
                </c:pt>
              </c:numCache>
            </c:numRef>
          </c:val>
          <c:smooth val="0"/>
        </c:ser>
        <c:ser>
          <c:idx val="1"/>
          <c:order val="1"/>
          <c:tx>
            <c:v>비교 인구(명)</c:v>
          </c:tx>
          <c:spPr>
            <a:solidFill xmlns:a="http://schemas.openxmlformats.org/drawingml/2006/main">
              <a:srgbClr val="777777"/>
            </a:solidFill>
            <ns2:ln xmlns:ns2="http://schemas.openxmlformats.org/drawingml/2006/main" w="19050">
              <ns2:solidFill>
                <ns2:srgbClr val="777777"/>
              </ns2:solidFill>
              <ns2:prstDash val="dash"/>
            </ns2:ln>
          </c:spPr>
          <c:marker>
            <c:symbol val="circle"/>
            <c:size val="4"/>
            <c:spPr>
              <ns3:solidFill xmlns:ns3="http://schemas.openxmlformats.org/drawingml/2006/main">
                <ns3:srgbClr val="777777"/>
              </ns3:solidFill>
            </c:spPr>
          </c:marker>
          <c:cat>
            <c:strRef>
              <c:f>'02_문화비축기지_인구청년'!$A$7:$A$17</c:f>
              <c:strCache>
                <c:ptCount val="11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</c:strCache>
            </c:strRef>
          </c:cat>
          <c:val>
            <c:numRef>
              <c:f>'02_문화비축기지_인구청년'!$D$7:$D$17</c:f>
              <c:numCache>
                <c:formatCode>#,##0.0</c:formatCode>
                <c:ptCount val="11"/>
                <c:pt idx="0">
                  <c:v>30540</c:v>
                </c:pt>
                <c:pt idx="1">
                  <c:v>30107.6666666667</c:v>
                </c:pt>
                <c:pt idx="2">
                  <c:v>29480.6666666667</c:v>
                </c:pt>
                <c:pt idx="3">
                  <c:v>29262.6666666667</c:v>
                </c:pt>
                <c:pt idx="4">
                  <c:v>28900.6666666667</c:v>
                </c:pt>
                <c:pt idx="6">
                  <c:v>29617.3333333333</c:v>
                </c:pt>
                <c:pt idx="7">
                  <c:v>29316.3333333333</c:v>
                </c:pt>
                <c:pt idx="8">
                  <c:v>28454</c:v>
                </c:pt>
                <c:pt idx="9">
                  <c:v>27624.6666666667</c:v>
                </c:pt>
                <c:pt idx="10">
                  <c:v>27046.6666666667</c:v>
                </c:pt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연도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명</a:t>
                </a:r>
              </a:p>
            </c:rich>
          </c:tx>
          <c:overlay val="0"/>
        </c:title>
        <c:numFmt formatCode="#,##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Malgun Gothic"/>
              <a:ea typeface="Malgun Gothic"/>
              <a:cs typeface="Malgun Gothic"/>
            </a:defRPr>
          </a:pPr>
        </a:p>
      </c:txPr>
    </c:legend>
    <c:plotVisOnly val="1"/>
    <c:dispBlanksAs val="gap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Malgun Gothic"/>
                <a:ea typeface="Malgun Gothic"/>
                <a:cs typeface="Malgun Gothic"/>
              </a:rPr>
              <a:t>청년비율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Malgun Gothic"/>
              <a:ea typeface="Malgun Gothic"/>
              <a:cs typeface="Malgun Gothic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처치 청년(%)</c:v>
          </c:tx>
          <c:spPr>
            <a:solidFill xmlns:a="http://schemas.openxmlformats.org/drawingml/2006/main">
              <a:srgbClr val="000000"/>
            </a:solidFill>
            <ns0:ln xmlns:ns0="http://schemas.openxmlformats.org/drawingml/2006/main" w="19050">
              <ns0:solidFill>
                <ns0:srgbClr val="000000"/>
              </ns0:solidFill>
              <ns0:prstDash val="solid"/>
            </ns0:ln>
          </c:spPr>
          <c:marker>
            <c:symbol val="circle"/>
            <c:size val="4"/>
            <c:spPr>
              <ns1:solidFill xmlns:ns1="http://schemas.openxmlformats.org/drawingml/2006/main">
                <ns1:srgbClr val="000000"/>
              </ns1:solidFill>
            </c:spPr>
          </c:marker>
          <c:cat>
            <c:strRef>
              <c:f>'02_문화비축기지_인구청년'!$A$7:$A$17</c:f>
              <c:strCache>
                <c:ptCount val="11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</c:strCache>
            </c:strRef>
          </c:cat>
          <c:val>
            <c:numRef>
              <c:f>'02_문화비축기지_인구청년'!$E$7:$E$17</c:f>
              <c:numCache>
                <c:formatCode>0.000</c:formatCode>
                <c:ptCount val="11"/>
                <c:pt idx="0">
                  <c:v>21.6651548211528</c:v>
                </c:pt>
                <c:pt idx="1">
                  <c:v>21.8176894862516</c:v>
                </c:pt>
                <c:pt idx="2">
                  <c:v>22.0782122905028</c:v>
                </c:pt>
                <c:pt idx="3">
                  <c:v>22.325395636763</c:v>
                </c:pt>
                <c:pt idx="4">
                  <c:v>22.5115046018407</c:v>
                </c:pt>
                <c:pt idx="6">
                  <c:v>25.3025700371281</c:v>
                </c:pt>
                <c:pt idx="7">
                  <c:v>26.1616063633718</c:v>
                </c:pt>
                <c:pt idx="8">
                  <c:v>26.4527320034692</c:v>
                </c:pt>
                <c:pt idx="9">
                  <c:v>26.6410826095738</c:v>
                </c:pt>
                <c:pt idx="10">
                  <c:v>27.4520310267401</c:v>
                </c:pt>
              </c:numCache>
            </c:numRef>
          </c:val>
          <c:smooth val="0"/>
        </c:ser>
        <c:ser>
          <c:idx val="1"/>
          <c:order val="1"/>
          <c:tx>
            <c:v>비교 청년(%)</c:v>
          </c:tx>
          <c:spPr>
            <a:solidFill xmlns:a="http://schemas.openxmlformats.org/drawingml/2006/main">
              <a:srgbClr val="777777"/>
            </a:solidFill>
            <ns2:ln xmlns:ns2="http://schemas.openxmlformats.org/drawingml/2006/main" w="19050">
              <ns2:solidFill>
                <ns2:srgbClr val="777777"/>
              </ns2:solidFill>
              <ns2:prstDash val="dash"/>
            </ns2:ln>
          </c:spPr>
          <c:marker>
            <c:symbol val="circle"/>
            <c:size val="4"/>
            <c:spPr>
              <ns3:solidFill xmlns:ns3="http://schemas.openxmlformats.org/drawingml/2006/main">
                <ns3:srgbClr val="777777"/>
              </ns3:solidFill>
            </c:spPr>
          </c:marker>
          <c:cat>
            <c:strRef>
              <c:f>'02_문화비축기지_인구청년'!$A$7:$A$17</c:f>
              <c:strCache>
                <c:ptCount val="11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</c:strCache>
            </c:strRef>
          </c:cat>
          <c:val>
            <c:numRef>
              <c:f>'02_문화비축기지_인구청년'!$F$7:$F$17</c:f>
              <c:numCache>
                <c:formatCode>0.000</c:formatCode>
                <c:ptCount val="11"/>
                <c:pt idx="0">
                  <c:v>24.2919204595398</c:v>
                </c:pt>
                <c:pt idx="1">
                  <c:v>24.0470983735557</c:v>
                </c:pt>
                <c:pt idx="2">
                  <c:v>23.9621408711039</c:v>
                </c:pt>
                <c:pt idx="3">
                  <c:v>23.5550190283667</c:v>
                </c:pt>
                <c:pt idx="4">
                  <c:v>22.9920421998773</c:v>
                </c:pt>
                <c:pt idx="6">
                  <c:v>22.0505325153618</c:v>
                </c:pt>
                <c:pt idx="7">
                  <c:v>21.9108113453121</c:v>
                </c:pt>
                <c:pt idx="8">
                  <c:v>21.6444312128749</c:v>
                </c:pt>
                <c:pt idx="9">
                  <c:v>21.244998382707</c:v>
                </c:pt>
                <c:pt idx="10">
                  <c:v>20.8030413651803</c:v>
                </c:pt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연도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%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Malgun Gothic"/>
              <a:ea typeface="Malgun Gothic"/>
              <a:cs typeface="Malgun Gothic"/>
            </a:defRPr>
          </a:pPr>
        </a:p>
      </c:txPr>
    </c:legend>
    <c:plotVisOnly val="1"/>
    <c:dispBlanksAs val="gap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Malgun Gothic"/>
                <a:ea typeface="Malgun Gothic"/>
                <a:cs typeface="Malgun Gothic"/>
              </a:rPr>
              <a:t>개관 전 인구 변화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Malgun Gothic"/>
              <a:ea typeface="Malgun Gothic"/>
              <a:cs typeface="Malgun Gothic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처치 인구지수</c:v>
          </c:tx>
          <c:spPr>
            <a:solidFill xmlns:a="http://schemas.openxmlformats.org/drawingml/2006/main">
              <a:srgbClr val="000000"/>
            </a:solidFill>
            <ns0:ln xmlns:ns0="http://schemas.openxmlformats.org/drawingml/2006/main" w="19050">
              <ns0:solidFill>
                <ns0:srgbClr val="000000"/>
              </ns0:solidFill>
              <ns0:prstDash val="solid"/>
            </ns0:ln>
          </c:spPr>
          <c:marker>
            <c:symbol val="circle"/>
            <c:size val="4"/>
            <c:spPr>
              <ns1:solidFill xmlns:ns1="http://schemas.openxmlformats.org/drawingml/2006/main">
                <ns1:srgbClr val="000000"/>
              </ns1:solidFill>
            </c:spPr>
          </c:marker>
          <c:cat>
            <c:strRef>
              <c:f>'02_문화비축기지_인구청년'!$H$7:$H$11</c:f>
              <c:strCache>
                <c:ptCount val="5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</c:strCache>
            </c:strRef>
          </c:cat>
          <c:val>
            <c:numRef>
              <c:f>'02_문화비축기지_인구청년'!$I$7:$I$11</c:f>
              <c:numCache>
                <c:formatCode>0.00</c:formatCode>
                <c:ptCount val="5"/>
                <c:pt idx="0">
                  <c:v>100</c:v>
                </c:pt>
                <c:pt idx="1">
                  <c:v>99.59302753193263</c:v>
                </c:pt>
                <c:pt idx="2">
                  <c:v>98.7398563338155</c:v>
                </c:pt>
                <c:pt idx="3">
                  <c:v>98.21765672117483</c:v>
                </c:pt>
                <c:pt idx="4">
                  <c:v>98.02642869401063</c:v>
                </c:pt>
              </c:numCache>
            </c:numRef>
          </c:val>
          <c:smooth val="0"/>
        </c:ser>
        <c:ser>
          <c:idx val="1"/>
          <c:order val="1"/>
          <c:tx>
            <c:v>비교 인구지수</c:v>
          </c:tx>
          <c:spPr>
            <a:solidFill xmlns:a="http://schemas.openxmlformats.org/drawingml/2006/main">
              <a:srgbClr val="777777"/>
            </a:solidFill>
            <ns2:ln xmlns:ns2="http://schemas.openxmlformats.org/drawingml/2006/main" w="19050">
              <ns2:solidFill>
                <ns2:srgbClr val="777777"/>
              </ns2:solidFill>
              <ns2:prstDash val="dash"/>
            </ns2:ln>
          </c:spPr>
          <c:marker>
            <c:symbol val="circle"/>
            <c:size val="4"/>
            <c:spPr>
              <ns3:solidFill xmlns:ns3="http://schemas.openxmlformats.org/drawingml/2006/main">
                <ns3:srgbClr val="777777"/>
              </ns3:solidFill>
            </c:spPr>
          </c:marker>
          <c:cat>
            <c:strRef>
              <c:f>'02_문화비축기지_인구청년'!$H$7:$H$11</c:f>
              <c:strCache>
                <c:ptCount val="5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</c:strCache>
            </c:strRef>
          </c:cat>
          <c:val>
            <c:numRef>
              <c:f>'02_문화비축기지_인구청년'!$J$7:$J$11</c:f>
              <c:numCache>
                <c:formatCode>0.00</c:formatCode>
                <c:ptCount val="5"/>
                <c:pt idx="0">
                  <c:v>100</c:v>
                </c:pt>
                <c:pt idx="1">
                  <c:v>98.58437022484185</c:v>
                </c:pt>
                <c:pt idx="2">
                  <c:v>96.53132503820137</c:v>
                </c:pt>
                <c:pt idx="3">
                  <c:v>95.81750709452096</c:v>
                </c:pt>
                <c:pt idx="4">
                  <c:v>94.63217638070302</c:v>
                </c:pt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연도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첫 사전연도=100</a:t>
                </a:r>
              </a:p>
            </c:rich>
          </c:tx>
          <c:overlay val="0"/>
        </c:title>
        <c:numFmt formatCode="#,##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Malgun Gothic"/>
              <a:ea typeface="Malgun Gothic"/>
              <a:cs typeface="Malgun Gothic"/>
            </a:defRPr>
          </a:pPr>
        </a:p>
      </c:txPr>
    </c:legend>
    <c:plotVisOnly val="1"/>
    <c:dispBlanksAs val="gap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Malgun Gothic"/>
                <a:ea typeface="Malgun Gothic"/>
                <a:cs typeface="Malgun Gothic"/>
              </a:rPr>
              <a:t>개관 전 청년비율 변화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Malgun Gothic"/>
              <a:ea typeface="Malgun Gothic"/>
              <a:cs typeface="Malgun Gothic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처치 청년변화</c:v>
          </c:tx>
          <c:spPr>
            <a:solidFill xmlns:a="http://schemas.openxmlformats.org/drawingml/2006/main">
              <a:srgbClr val="000000"/>
            </a:solidFill>
            <ns0:ln xmlns:ns0="http://schemas.openxmlformats.org/drawingml/2006/main" w="19050">
              <ns0:solidFill>
                <ns0:srgbClr val="000000"/>
              </ns0:solidFill>
              <ns0:prstDash val="solid"/>
            </ns0:ln>
          </c:spPr>
          <c:marker>
            <c:symbol val="circle"/>
            <c:size val="4"/>
            <c:spPr>
              <ns1:solidFill xmlns:ns1="http://schemas.openxmlformats.org/drawingml/2006/main">
                <ns1:srgbClr val="000000"/>
              </ns1:solidFill>
            </c:spPr>
          </c:marker>
          <c:cat>
            <c:strRef>
              <c:f>'02_문화비축기지_인구청년'!$H$7:$H$11</c:f>
              <c:strCache>
                <c:ptCount val="5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</c:strCache>
            </c:strRef>
          </c:cat>
          <c:val>
            <c:numRef>
              <c:f>'02_문화비축기지_인구청년'!$K$7:$K$11</c:f>
              <c:numCache>
                <c:formatCode>0.000</c:formatCode>
                <c:ptCount val="5"/>
                <c:pt idx="0">
                  <c:v>0</c:v>
                </c:pt>
                <c:pt idx="1">
                  <c:v>0.15253466509879843</c:v>
                </c:pt>
                <c:pt idx="2">
                  <c:v>0.41305746935000087</c:v>
                </c:pt>
                <c:pt idx="3">
                  <c:v>0.6602408156102015</c:v>
                </c:pt>
                <c:pt idx="4">
                  <c:v>0.8463497806878983</c:v>
                </c:pt>
              </c:numCache>
            </c:numRef>
          </c:val>
          <c:smooth val="0"/>
        </c:ser>
        <c:ser>
          <c:idx val="1"/>
          <c:order val="1"/>
          <c:tx>
            <c:v>비교 청년변화</c:v>
          </c:tx>
          <c:spPr>
            <a:solidFill xmlns:a="http://schemas.openxmlformats.org/drawingml/2006/main">
              <a:srgbClr val="777777"/>
            </a:solidFill>
            <ns2:ln xmlns:ns2="http://schemas.openxmlformats.org/drawingml/2006/main" w="19050">
              <ns2:solidFill>
                <ns2:srgbClr val="777777"/>
              </ns2:solidFill>
              <ns2:prstDash val="dash"/>
            </ns2:ln>
          </c:spPr>
          <c:marker>
            <c:symbol val="circle"/>
            <c:size val="4"/>
            <c:spPr>
              <ns3:solidFill xmlns:ns3="http://schemas.openxmlformats.org/drawingml/2006/main">
                <ns3:srgbClr val="777777"/>
              </ns3:solidFill>
            </c:spPr>
          </c:marker>
          <c:cat>
            <c:strRef>
              <c:f>'02_문화비축기지_인구청년'!$H$7:$H$11</c:f>
              <c:strCache>
                <c:ptCount val="5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</c:strCache>
            </c:strRef>
          </c:cat>
          <c:val>
            <c:numRef>
              <c:f>'02_문화비축기지_인구청년'!$L$7:$L$11</c:f>
              <c:numCache>
                <c:formatCode>0.000</c:formatCode>
                <c:ptCount val="5"/>
                <c:pt idx="0">
                  <c:v>0</c:v>
                </c:pt>
                <c:pt idx="1">
                  <c:v>-0.24482208598410082</c:v>
                </c:pt>
                <c:pt idx="2">
                  <c:v>-0.3297795884358976</c:v>
                </c:pt>
                <c:pt idx="3">
                  <c:v>-0.7369014311730986</c:v>
                </c:pt>
                <c:pt idx="4">
                  <c:v>-1.2998782596624991</c:v>
                </c:pt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연도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%p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Malgun Gothic"/>
              <a:ea typeface="Malgun Gothic"/>
              <a:cs typeface="Malgun Gothic"/>
            </a:defRPr>
          </a:pPr>
        </a:p>
      </c:txPr>
    </c:legend>
    <c:plotVisOnly val="1"/>
    <c:dispBlanksAs val="gap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Malgun Gothic"/>
                <a:ea typeface="Malgun Gothic"/>
                <a:cs typeface="Malgun Gothic"/>
              </a:rPr>
              <a:t>인구 격차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Malgun Gothic"/>
              <a:ea typeface="Malgun Gothic"/>
              <a:cs typeface="Malgun Gothic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인구 격차(명)</c:v>
          </c:tx>
          <c:spPr>
            <a:solidFill xmlns:a="http://schemas.openxmlformats.org/drawingml/2006/main">
              <a:srgbClr val="000000"/>
            </a:solidFill>
            <ns0:ln xmlns:ns0="http://schemas.openxmlformats.org/drawingml/2006/main" w="19050">
              <ns0:solidFill>
                <ns0:srgbClr val="000000"/>
              </ns0:solidFill>
              <ns0:prstDash val="solid"/>
            </ns0:ln>
          </c:spPr>
          <c:marker>
            <c:symbol val="circle"/>
            <c:size val="4"/>
            <c:spPr>
              <ns1:solidFill xmlns:ns1="http://schemas.openxmlformats.org/drawingml/2006/main">
                <ns1:srgbClr val="000000"/>
              </ns1:solidFill>
            </c:spPr>
          </c:marker>
          <c:cat>
            <c:strRef>
              <c:f>'03_문화비축기지_연도별격차'!$A$7:$A$17</c:f>
              <c:strCache>
                <c:ptCount val="11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</c:strCache>
            </c:strRef>
          </c:cat>
          <c:val>
            <c:numRef>
              <c:f>'03_문화비축기지_연도별격차'!$C$7:$C$17</c:f>
              <c:numCache>
                <c:formatCode>#,##0.0</c:formatCode>
                <c:ptCount val="11"/>
                <c:pt idx="0">
                  <c:v>-834.333333333338</c:v>
                </c:pt>
                <c:pt idx="1">
                  <c:v>-568</c:v>
                </c:pt>
                <c:pt idx="2">
                  <c:v>-289.000000000003</c:v>
                </c:pt>
                <c:pt idx="3">
                  <c:v>-284.000000000003</c:v>
                </c:pt>
                <c:pt idx="4">
                  <c:v>0</c:v>
                </c:pt>
                <c:pt idx="6">
                  <c:v>777.333333333332</c:v>
                </c:pt>
                <c:pt idx="7">
                  <c:v>836.333333333332</c:v>
                </c:pt>
                <c:pt idx="8">
                  <c:v>817.666666666665</c:v>
                </c:pt>
                <c:pt idx="9">
                  <c:v>899.999999999999</c:v>
                </c:pt>
                <c:pt idx="10">
                  <c:v>1062</c:v>
                </c:pt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개관연도 대비 연도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명</a:t>
                </a:r>
              </a:p>
            </c:rich>
          </c:tx>
          <c:overlay val="0"/>
        </c:title>
        <c:numFmt formatCode="#,##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Malgun Gothic"/>
              <a:ea typeface="Malgun Gothic"/>
              <a:cs typeface="Malgun Gothic"/>
            </a:defRPr>
          </a:pPr>
        </a:p>
      </c:txPr>
    </c:legend>
    <c:plotVisOnly val="1"/>
    <c:dispBlanksAs val="gap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Malgun Gothic"/>
                <a:ea typeface="Malgun Gothic"/>
                <a:cs typeface="Malgun Gothic"/>
              </a:rPr>
              <a:t>청년비율 격차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Malgun Gothic"/>
              <a:ea typeface="Malgun Gothic"/>
              <a:cs typeface="Malgun Gothic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청년 격차(%p)</c:v>
          </c:tx>
          <c:spPr>
            <a:solidFill xmlns:a="http://schemas.openxmlformats.org/drawingml/2006/main">
              <a:srgbClr val="000000"/>
            </a:solidFill>
            <ns0:ln xmlns:ns0="http://schemas.openxmlformats.org/drawingml/2006/main" w="19050">
              <ns0:solidFill>
                <ns0:srgbClr val="000000"/>
              </ns0:solidFill>
              <ns0:prstDash val="solid"/>
            </ns0:ln>
          </c:spPr>
          <c:marker>
            <c:symbol val="circle"/>
            <c:size val="4"/>
            <c:spPr>
              <ns1:solidFill xmlns:ns1="http://schemas.openxmlformats.org/drawingml/2006/main">
                <ns1:srgbClr val="000000"/>
              </ns1:solidFill>
            </c:spPr>
          </c:marker>
          <c:cat>
            <c:strRef>
              <c:f>'03_문화비축기지_연도별격차'!$A$7:$A$17</c:f>
              <c:strCache>
                <c:ptCount val="11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</c:strCache>
            </c:strRef>
          </c:cat>
          <c:val>
            <c:numRef>
              <c:f>'03_문화비축기지_연도별격차'!$D$7:$D$17</c:f>
              <c:numCache>
                <c:formatCode>0.000</c:formatCode>
                <c:ptCount val="11"/>
                <c:pt idx="0">
                  <c:v>-2.14622804035051</c:v>
                </c:pt>
                <c:pt idx="1">
                  <c:v>-1.74887128926755</c:v>
                </c:pt>
                <c:pt idx="2">
                  <c:v>-1.4033909825646</c:v>
                </c:pt>
                <c:pt idx="3">
                  <c:v>-0.749085793567151</c:v>
                </c:pt>
                <c:pt idx="4">
                  <c:v>0</c:v>
                </c:pt>
                <c:pt idx="6">
                  <c:v>3.7325751198029</c:v>
                </c:pt>
                <c:pt idx="7">
                  <c:v>4.73133261609629</c:v>
                </c:pt>
                <c:pt idx="8">
                  <c:v>5.28883838863082</c:v>
                </c:pt>
                <c:pt idx="9">
                  <c:v>5.87662182490336</c:v>
                </c:pt>
                <c:pt idx="10">
                  <c:v>7.12952725959636</c:v>
                </c:pt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개관연도 대비 연도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%p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Malgun Gothic"/>
              <a:ea typeface="Malgun Gothic"/>
              <a:cs typeface="Malgun Gothic"/>
            </a:defRPr>
          </a:pPr>
        </a:p>
      </c:txPr>
    </c:legend>
    <c:plotVisOnly val="1"/>
    <c:dispBlanksAs val="gap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Malgun Gothic"/>
                <a:ea typeface="Malgun Gothic"/>
                <a:cs typeface="Malgun Gothic"/>
              </a:rPr>
              <a:t>순이동 격차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Malgun Gothic"/>
              <a:ea typeface="Malgun Gothic"/>
              <a:cs typeface="Malgun Gothic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순이동 격차(명)</c:v>
          </c:tx>
          <c:spPr>
            <a:solidFill xmlns:a="http://schemas.openxmlformats.org/drawingml/2006/main">
              <a:srgbClr val="000000"/>
            </a:solidFill>
            <ns0:ln xmlns:ns0="http://schemas.openxmlformats.org/drawingml/2006/main" w="19050">
              <ns0:solidFill>
                <ns0:srgbClr val="000000"/>
              </ns0:solidFill>
              <ns0:prstDash val="solid"/>
            </ns0:ln>
          </c:spPr>
          <c:marker>
            <c:symbol val="circle"/>
            <c:size val="4"/>
            <c:spPr>
              <ns1:solidFill xmlns:ns1="http://schemas.openxmlformats.org/drawingml/2006/main">
                <ns1:srgbClr val="000000"/>
              </ns1:solidFill>
            </c:spPr>
          </c:marker>
          <c:cat>
            <c:strRef>
              <c:f>'03_문화비축기지_연도별격차'!$A$7:$A$17</c:f>
              <c:strCache>
                <c:ptCount val="11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</c:strCache>
            </c:strRef>
          </c:cat>
          <c:val>
            <c:numRef>
              <c:f>'03_문화비축기지_연도별격차'!$E$7:$E$17</c:f>
              <c:numCache>
                <c:formatCode>#,##0.0</c:formatCode>
                <c:ptCount val="11"/>
                <c:pt idx="0">
                  <c:v>-430.333333333334</c:v>
                </c:pt>
                <c:pt idx="1">
                  <c:v>-37.0000000000007</c:v>
                </c:pt>
                <c:pt idx="2">
                  <c:v>31.3333333333327</c:v>
                </c:pt>
                <c:pt idx="3">
                  <c:v>-288.666666666667</c:v>
                </c:pt>
                <c:pt idx="4">
                  <c:v>0</c:v>
                </c:pt>
                <c:pt idx="6">
                  <c:v>338.666666666666</c:v>
                </c:pt>
                <c:pt idx="7">
                  <c:v>-109.000000000001</c:v>
                </c:pt>
                <c:pt idx="8">
                  <c:v>-186.666666666667</c:v>
                </c:pt>
                <c:pt idx="9">
                  <c:v>-67.6666666666676</c:v>
                </c:pt>
                <c:pt idx="10">
                  <c:v>9.3333333333326</c:v>
                </c:pt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개관연도 대비 연도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명</a:t>
                </a:r>
              </a:p>
            </c:rich>
          </c:tx>
          <c:overlay val="0"/>
        </c:title>
        <c:numFmt formatCode="#,##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Malgun Gothic"/>
              <a:ea typeface="Malgun Gothic"/>
              <a:cs typeface="Malgun Gothic"/>
            </a:defRPr>
          </a:pPr>
        </a:p>
      </c:txPr>
    </c:legend>
    <c:plotVisOnly val="1"/>
    <c:dispBlanksAs val="gap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Malgun Gothic"/>
                <a:ea typeface="Malgun Gothic"/>
                <a:cs typeface="Malgun Gothic"/>
              </a:rPr>
              <a:t>주민등록인구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Malgun Gothic"/>
              <a:ea typeface="Malgun Gothic"/>
              <a:cs typeface="Malgun Gothic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처치 인구(명)</c:v>
          </c:tx>
          <c:spPr>
            <a:solidFill xmlns:a="http://schemas.openxmlformats.org/drawingml/2006/main">
              <a:srgbClr val="000000"/>
            </a:solidFill>
            <ns0:ln xmlns:ns0="http://schemas.openxmlformats.org/drawingml/2006/main" w="19050">
              <ns0:solidFill>
                <ns0:srgbClr val="000000"/>
              </ns0:solidFill>
              <ns0:prstDash val="solid"/>
            </ns0:ln>
          </c:spPr>
          <c:marker>
            <c:symbol val="circle"/>
            <c:size val="4"/>
            <c:spPr>
              <ns1:solidFill xmlns:ns1="http://schemas.openxmlformats.org/drawingml/2006/main">
                <ns1:srgbClr val="000000"/>
              </ns1:solidFill>
            </c:spPr>
          </c:marker>
          <c:cat>
            <c:strRef>
              <c:f>'04_F1963_인구청년'!$A$7:$A$17</c:f>
              <c:strCache>
                <c:ptCount val="11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</c:strCache>
            </c:strRef>
          </c:cat>
          <c:val>
            <c:numRef>
              <c:f>'04_F1963_인구청년'!$C$7:$C$17</c:f>
              <c:numCache>
                <c:formatCode>#,##0.0</c:formatCode>
                <c:ptCount val="11"/>
                <c:pt idx="0">
                  <c:v>14195</c:v>
                </c:pt>
                <c:pt idx="1">
                  <c:v>13910</c:v>
                </c:pt>
                <c:pt idx="2">
                  <c:v>13354</c:v>
                </c:pt>
                <c:pt idx="3">
                  <c:v>13161</c:v>
                </c:pt>
                <c:pt idx="4">
                  <c:v>13077</c:v>
                </c:pt>
                <c:pt idx="6">
                  <c:v>12350</c:v>
                </c:pt>
                <c:pt idx="7">
                  <c:v>11987</c:v>
                </c:pt>
                <c:pt idx="8">
                  <c:v>11501</c:v>
                </c:pt>
                <c:pt idx="9">
                  <c:v>10703</c:v>
                </c:pt>
                <c:pt idx="10">
                  <c:v>10363</c:v>
                </c:pt>
              </c:numCache>
            </c:numRef>
          </c:val>
          <c:smooth val="0"/>
        </c:ser>
        <c:ser>
          <c:idx val="1"/>
          <c:order val="1"/>
          <c:tx>
            <c:v>비교 인구(명)</c:v>
          </c:tx>
          <c:spPr>
            <a:solidFill xmlns:a="http://schemas.openxmlformats.org/drawingml/2006/main">
              <a:srgbClr val="777777"/>
            </a:solidFill>
            <ns2:ln xmlns:ns2="http://schemas.openxmlformats.org/drawingml/2006/main" w="19050">
              <ns2:solidFill>
                <ns2:srgbClr val="777777"/>
              </ns2:solidFill>
              <ns2:prstDash val="dash"/>
            </ns2:ln>
          </c:spPr>
          <c:marker>
            <c:symbol val="circle"/>
            <c:size val="4"/>
            <c:spPr>
              <ns3:solidFill xmlns:ns3="http://schemas.openxmlformats.org/drawingml/2006/main">
                <ns3:srgbClr val="777777"/>
              </ns3:solidFill>
            </c:spPr>
          </c:marker>
          <c:cat>
            <c:strRef>
              <c:f>'04_F1963_인구청년'!$A$7:$A$17</c:f>
              <c:strCache>
                <c:ptCount val="11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</c:strCache>
            </c:strRef>
          </c:cat>
          <c:val>
            <c:numRef>
              <c:f>'04_F1963_인구청년'!$D$7:$D$17</c:f>
              <c:numCache>
                <c:formatCode>#,##0.0</c:formatCode>
                <c:ptCount val="11"/>
                <c:pt idx="0">
                  <c:v>16622</c:v>
                </c:pt>
                <c:pt idx="1">
                  <c:v>16381.6666666667</c:v>
                </c:pt>
                <c:pt idx="2">
                  <c:v>16008.6666666667</c:v>
                </c:pt>
                <c:pt idx="3">
                  <c:v>15957.6666666667</c:v>
                </c:pt>
                <c:pt idx="4">
                  <c:v>16311.6666666667</c:v>
                </c:pt>
                <c:pt idx="6">
                  <c:v>16352</c:v>
                </c:pt>
                <c:pt idx="7">
                  <c:v>16110</c:v>
                </c:pt>
                <c:pt idx="8">
                  <c:v>15588.3333333333</c:v>
                </c:pt>
                <c:pt idx="9">
                  <c:v>15385.3333333333</c:v>
                </c:pt>
                <c:pt idx="10">
                  <c:v>16035.3333333333</c:v>
                </c:pt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연도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명</a:t>
                </a:r>
              </a:p>
            </c:rich>
          </c:tx>
          <c:overlay val="0"/>
        </c:title>
        <c:numFmt formatCode="#,##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Malgun Gothic"/>
              <a:ea typeface="Malgun Gothic"/>
              <a:cs typeface="Malgun Gothic"/>
            </a:defRPr>
          </a:pPr>
        </a:p>
      </c:txPr>
    </c:legend>
    <c:plotVisOnly val="1"/>
    <c:dispBlanksAs val="gap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Malgun Gothic"/>
                <a:ea typeface="Malgun Gothic"/>
                <a:cs typeface="Malgun Gothic"/>
              </a:rPr>
              <a:t>청년비율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Malgun Gothic"/>
              <a:ea typeface="Malgun Gothic"/>
              <a:cs typeface="Malgun Gothic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처치 청년(%)</c:v>
          </c:tx>
          <c:spPr>
            <a:solidFill xmlns:a="http://schemas.openxmlformats.org/drawingml/2006/main">
              <a:srgbClr val="000000"/>
            </a:solidFill>
            <ns0:ln xmlns:ns0="http://schemas.openxmlformats.org/drawingml/2006/main" w="19050">
              <ns0:solidFill>
                <ns0:srgbClr val="000000"/>
              </ns0:solidFill>
              <ns0:prstDash val="solid"/>
            </ns0:ln>
          </c:spPr>
          <c:marker>
            <c:symbol val="circle"/>
            <c:size val="4"/>
            <c:spPr>
              <ns1:solidFill xmlns:ns1="http://schemas.openxmlformats.org/drawingml/2006/main">
                <ns1:srgbClr val="000000"/>
              </ns1:solidFill>
            </c:spPr>
          </c:marker>
          <c:cat>
            <c:strRef>
              <c:f>'04_F1963_인구청년'!$A$7:$A$17</c:f>
              <c:strCache>
                <c:ptCount val="11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</c:strCache>
            </c:strRef>
          </c:cat>
          <c:val>
            <c:numRef>
              <c:f>'04_F1963_인구청년'!$E$7:$E$17</c:f>
              <c:numCache>
                <c:formatCode>0.000</c:formatCode>
                <c:ptCount val="11"/>
                <c:pt idx="0">
                  <c:v>21.655512504403</c:v>
                </c:pt>
                <c:pt idx="1">
                  <c:v>21.2365204888569</c:v>
                </c:pt>
                <c:pt idx="2">
                  <c:v>20.9824771604014</c:v>
                </c:pt>
                <c:pt idx="3">
                  <c:v>20.1960337360383</c:v>
                </c:pt>
                <c:pt idx="4">
                  <c:v>19.3698860594938</c:v>
                </c:pt>
                <c:pt idx="6">
                  <c:v>18.0728744939271</c:v>
                </c:pt>
                <c:pt idx="7">
                  <c:v>18.1363143405356</c:v>
                </c:pt>
                <c:pt idx="8">
                  <c:v>17.5636901139031</c:v>
                </c:pt>
                <c:pt idx="9">
                  <c:v>17.0326076800897</c:v>
                </c:pt>
                <c:pt idx="10">
                  <c:v>17.1378944321143</c:v>
                </c:pt>
              </c:numCache>
            </c:numRef>
          </c:val>
          <c:smooth val="0"/>
        </c:ser>
        <c:ser>
          <c:idx val="1"/>
          <c:order val="1"/>
          <c:tx>
            <c:v>비교 청년(%)</c:v>
          </c:tx>
          <c:spPr>
            <a:solidFill xmlns:a="http://schemas.openxmlformats.org/drawingml/2006/main">
              <a:srgbClr val="777777"/>
            </a:solidFill>
            <ns2:ln xmlns:ns2="http://schemas.openxmlformats.org/drawingml/2006/main" w="19050">
              <ns2:solidFill>
                <ns2:srgbClr val="777777"/>
              </ns2:solidFill>
              <ns2:prstDash val="dash"/>
            </ns2:ln>
          </c:spPr>
          <c:marker>
            <c:symbol val="circle"/>
            <c:size val="4"/>
            <c:spPr>
              <ns3:solidFill xmlns:ns3="http://schemas.openxmlformats.org/drawingml/2006/main">
                <ns3:srgbClr val="777777"/>
              </ns3:solidFill>
            </c:spPr>
          </c:marker>
          <c:cat>
            <c:strRef>
              <c:f>'04_F1963_인구청년'!$A$7:$A$17</c:f>
              <c:strCache>
                <c:ptCount val="11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</c:strCache>
            </c:strRef>
          </c:cat>
          <c:val>
            <c:numRef>
              <c:f>'04_F1963_인구청년'!$F$7:$F$17</c:f>
              <c:numCache>
                <c:formatCode>0.000</c:formatCode>
                <c:ptCount val="11"/>
                <c:pt idx="0">
                  <c:v>23.5156390329335</c:v>
                </c:pt>
                <c:pt idx="1">
                  <c:v>23.1950518590611</c:v>
                </c:pt>
                <c:pt idx="2">
                  <c:v>22.7501728059889</c:v>
                </c:pt>
                <c:pt idx="3">
                  <c:v>22.3125750872459</c:v>
                </c:pt>
                <c:pt idx="4">
                  <c:v>21.7101073687686</c:v>
                </c:pt>
                <c:pt idx="6">
                  <c:v>21.0328911404023</c:v>
                </c:pt>
                <c:pt idx="7">
                  <c:v>20.9761993906467</c:v>
                </c:pt>
                <c:pt idx="8">
                  <c:v>21.1795922883967</c:v>
                </c:pt>
                <c:pt idx="9">
                  <c:v>21.6107512015379</c:v>
                </c:pt>
                <c:pt idx="10">
                  <c:v>21.9516221952057</c:v>
                </c:pt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연도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%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Malgun Gothic"/>
              <a:ea typeface="Malgun Gothic"/>
              <a:cs typeface="Malgun Gothic"/>
            </a:defRPr>
          </a:pPr>
        </a:p>
      </c:txPr>
    </c:legend>
    <c:plotVisOnly val="1"/>
    <c:dispBlanksAs val="gap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Malgun Gothic"/>
                <a:ea typeface="Malgun Gothic"/>
                <a:cs typeface="Malgun Gothic"/>
              </a:rPr>
              <a:t>개관 전 인구 변화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Malgun Gothic"/>
              <a:ea typeface="Malgun Gothic"/>
              <a:cs typeface="Malgun Gothic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처치 인구지수</c:v>
          </c:tx>
          <c:spPr>
            <a:solidFill xmlns:a="http://schemas.openxmlformats.org/drawingml/2006/main">
              <a:srgbClr val="000000"/>
            </a:solidFill>
            <ns0:ln xmlns:ns0="http://schemas.openxmlformats.org/drawingml/2006/main" w="19050">
              <ns0:solidFill>
                <ns0:srgbClr val="000000"/>
              </ns0:solidFill>
              <ns0:prstDash val="solid"/>
            </ns0:ln>
          </c:spPr>
          <c:marker>
            <c:symbol val="circle"/>
            <c:size val="4"/>
            <c:spPr>
              <ns1:solidFill xmlns:ns1="http://schemas.openxmlformats.org/drawingml/2006/main">
                <ns1:srgbClr val="000000"/>
              </ns1:solidFill>
            </c:spPr>
          </c:marker>
          <c:cat>
            <c:strRef>
              <c:f>'04_F1963_인구청년'!$H$7:$H$11</c:f>
              <c:strCache>
                <c:ptCount val="5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</c:strCache>
            </c:strRef>
          </c:cat>
          <c:val>
            <c:numRef>
              <c:f>'04_F1963_인구청년'!$I$7:$I$11</c:f>
              <c:numCache>
                <c:formatCode>0.00</c:formatCode>
                <c:ptCount val="5"/>
                <c:pt idx="0">
                  <c:v>100</c:v>
                </c:pt>
                <c:pt idx="1">
                  <c:v>97.99225079253259</c:v>
                </c:pt>
                <c:pt idx="2">
                  <c:v>94.0753786544558</c:v>
                </c:pt>
                <c:pt idx="3">
                  <c:v>92.71574498062698</c:v>
                </c:pt>
                <c:pt idx="4">
                  <c:v>92.1239873194787</c:v>
                </c:pt>
              </c:numCache>
            </c:numRef>
          </c:val>
          <c:smooth val="0"/>
        </c:ser>
        <c:ser>
          <c:idx val="1"/>
          <c:order val="1"/>
          <c:tx>
            <c:v>비교 인구지수</c:v>
          </c:tx>
          <c:spPr>
            <a:solidFill xmlns:a="http://schemas.openxmlformats.org/drawingml/2006/main">
              <a:srgbClr val="777777"/>
            </a:solidFill>
            <ns2:ln xmlns:ns2="http://schemas.openxmlformats.org/drawingml/2006/main" w="19050">
              <ns2:solidFill>
                <ns2:srgbClr val="777777"/>
              </ns2:solidFill>
              <ns2:prstDash val="dash"/>
            </ns2:ln>
          </c:spPr>
          <c:marker>
            <c:symbol val="circle"/>
            <c:size val="4"/>
            <c:spPr>
              <ns3:solidFill xmlns:ns3="http://schemas.openxmlformats.org/drawingml/2006/main">
                <ns3:srgbClr val="777777"/>
              </ns3:solidFill>
            </c:spPr>
          </c:marker>
          <c:cat>
            <c:strRef>
              <c:f>'04_F1963_인구청년'!$H$7:$H$11</c:f>
              <c:strCache>
                <c:ptCount val="5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</c:strCache>
            </c:strRef>
          </c:cat>
          <c:val>
            <c:numRef>
              <c:f>'04_F1963_인구청년'!$J$7:$J$11</c:f>
              <c:numCache>
                <c:formatCode>0.00</c:formatCode>
                <c:ptCount val="5"/>
                <c:pt idx="0">
                  <c:v>100</c:v>
                </c:pt>
                <c:pt idx="1">
                  <c:v>98.554125055148</c:v>
                </c:pt>
                <c:pt idx="2">
                  <c:v>96.31011109774215</c:v>
                </c:pt>
                <c:pt idx="3">
                  <c:v>96.00328881402179</c:v>
                </c:pt>
                <c:pt idx="4">
                  <c:v>98.13299643043376</c:v>
                </c:pt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연도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첫 사전연도=100</a:t>
                </a:r>
              </a:p>
            </c:rich>
          </c:tx>
          <c:overlay val="0"/>
        </c:title>
        <c:numFmt formatCode="#,##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Malgun Gothic"/>
              <a:ea typeface="Malgun Gothic"/>
              <a:cs typeface="Malgun Gothic"/>
            </a:defRPr>
          </a:pPr>
        </a:p>
      </c:txPr>
    </c:legend>
    <c:plotVisOnly val="1"/>
    <c:dispBlanksAs val="gap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Malgun Gothic"/>
                <a:ea typeface="Malgun Gothic"/>
                <a:cs typeface="Malgun Gothic"/>
              </a:rPr>
              <a:t>개관 전 청년비율 변화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Malgun Gothic"/>
              <a:ea typeface="Malgun Gothic"/>
              <a:cs typeface="Malgun Gothic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처치 청년변화</c:v>
          </c:tx>
          <c:spPr>
            <a:solidFill xmlns:a="http://schemas.openxmlformats.org/drawingml/2006/main">
              <a:srgbClr val="000000"/>
            </a:solidFill>
            <ns0:ln xmlns:ns0="http://schemas.openxmlformats.org/drawingml/2006/main" w="19050">
              <ns0:solidFill>
                <ns0:srgbClr val="000000"/>
              </ns0:solidFill>
              <ns0:prstDash val="solid"/>
            </ns0:ln>
          </c:spPr>
          <c:marker>
            <c:symbol val="circle"/>
            <c:size val="4"/>
            <c:spPr>
              <ns1:solidFill xmlns:ns1="http://schemas.openxmlformats.org/drawingml/2006/main">
                <ns1:srgbClr val="000000"/>
              </ns1:solidFill>
            </c:spPr>
          </c:marker>
          <c:cat>
            <c:strRef>
              <c:f>'04_F1963_인구청년'!$H$7:$H$11</c:f>
              <c:strCache>
                <c:ptCount val="5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</c:strCache>
            </c:strRef>
          </c:cat>
          <c:val>
            <c:numRef>
              <c:f>'04_F1963_인구청년'!$K$7:$K$11</c:f>
              <c:numCache>
                <c:formatCode>0.000</c:formatCode>
                <c:ptCount val="5"/>
                <c:pt idx="0">
                  <c:v>0</c:v>
                </c:pt>
                <c:pt idx="1">
                  <c:v>-0.4189920155460989</c:v>
                </c:pt>
                <c:pt idx="2">
                  <c:v>-0.6730353440015975</c:v>
                </c:pt>
                <c:pt idx="3">
                  <c:v>-1.4594787683647006</c:v>
                </c:pt>
                <c:pt idx="4">
                  <c:v>-2.285626444909198</c:v>
                </c:pt>
              </c:numCache>
            </c:numRef>
          </c:val>
          <c:smooth val="0"/>
        </c:ser>
        <c:ser>
          <c:idx val="1"/>
          <c:order val="1"/>
          <c:tx>
            <c:v>비교 청년변화</c:v>
          </c:tx>
          <c:spPr>
            <a:solidFill xmlns:a="http://schemas.openxmlformats.org/drawingml/2006/main">
              <a:srgbClr val="777777"/>
            </a:solidFill>
            <ns2:ln xmlns:ns2="http://schemas.openxmlformats.org/drawingml/2006/main" w="19050">
              <ns2:solidFill>
                <ns2:srgbClr val="777777"/>
              </ns2:solidFill>
              <ns2:prstDash val="dash"/>
            </ns2:ln>
          </c:spPr>
          <c:marker>
            <c:symbol val="circle"/>
            <c:size val="4"/>
            <c:spPr>
              <ns3:solidFill xmlns:ns3="http://schemas.openxmlformats.org/drawingml/2006/main">
                <ns3:srgbClr val="777777"/>
              </ns3:solidFill>
            </c:spPr>
          </c:marker>
          <c:cat>
            <c:strRef>
              <c:f>'04_F1963_인구청년'!$H$7:$H$11</c:f>
              <c:strCache>
                <c:ptCount val="5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</c:strCache>
            </c:strRef>
          </c:cat>
          <c:val>
            <c:numRef>
              <c:f>'04_F1963_인구청년'!$L$7:$L$11</c:f>
              <c:numCache>
                <c:formatCode>0.000</c:formatCode>
                <c:ptCount val="5"/>
                <c:pt idx="0">
                  <c:v>0</c:v>
                </c:pt>
                <c:pt idx="1">
                  <c:v>-0.32058717387240065</c:v>
                </c:pt>
                <c:pt idx="2">
                  <c:v>-0.7654662269446</c:v>
                </c:pt>
                <c:pt idx="3">
                  <c:v>-1.2030639456875996</c:v>
                </c:pt>
                <c:pt idx="4">
                  <c:v>-1.8055316641648993</c:v>
                </c:pt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연도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%p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Malgun Gothic"/>
              <a:ea typeface="Malgun Gothic"/>
              <a:cs typeface="Malgun Gothic"/>
            </a:defRPr>
          </a:pPr>
        </a:p>
      </c:txPr>
    </c:legend>
    <c:plotVisOnly val="1"/>
    <c:dispBlanksAs val="gap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Malgun Gothic"/>
                <a:ea typeface="Malgun Gothic"/>
                <a:cs typeface="Malgun Gothic"/>
              </a:rPr>
              <a:t>인구 격차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Malgun Gothic"/>
              <a:ea typeface="Malgun Gothic"/>
              <a:cs typeface="Malgun Gothic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인구 격차(명)</c:v>
          </c:tx>
          <c:spPr>
            <a:solidFill xmlns:a="http://schemas.openxmlformats.org/drawingml/2006/main">
              <a:srgbClr val="000000"/>
            </a:solidFill>
            <ns0:ln xmlns:ns0="http://schemas.openxmlformats.org/drawingml/2006/main" w="19050">
              <ns0:solidFill>
                <ns0:srgbClr val="000000"/>
              </ns0:solidFill>
              <ns0:prstDash val="solid"/>
            </ns0:ln>
          </c:spPr>
          <c:marker>
            <c:symbol val="circle"/>
            <c:size val="4"/>
            <c:spPr>
              <ns1:solidFill xmlns:ns1="http://schemas.openxmlformats.org/drawingml/2006/main">
                <ns1:srgbClr val="000000"/>
              </ns1:solidFill>
            </c:spPr>
          </c:marker>
          <c:cat>
            <c:strRef>
              <c:f>'05_F1963_연도별격차'!$A$7:$A$17</c:f>
              <c:strCache>
                <c:ptCount val="11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</c:strCache>
            </c:strRef>
          </c:cat>
          <c:val>
            <c:numRef>
              <c:f>'05_F1963_연도별격차'!$C$7:$C$17</c:f>
              <c:numCache>
                <c:formatCode>#,##0.0</c:formatCode>
                <c:ptCount val="11"/>
                <c:pt idx="0">
                  <c:v>807.666666666656</c:v>
                </c:pt>
                <c:pt idx="1">
                  <c:v>763.000000000002</c:v>
                </c:pt>
                <c:pt idx="2">
                  <c:v>579.999999999999</c:v>
                </c:pt>
                <c:pt idx="3">
                  <c:v>438.000000000005</c:v>
                </c:pt>
                <c:pt idx="4">
                  <c:v>0</c:v>
                </c:pt>
                <c:pt idx="6">
                  <c:v>-767.333333333333</c:v>
                </c:pt>
                <c:pt idx="7">
                  <c:v>-888.333333333333</c:v>
                </c:pt>
                <c:pt idx="8">
                  <c:v>-852.666666666666</c:v>
                </c:pt>
                <c:pt idx="9">
                  <c:v>-1447.66666666667</c:v>
                </c:pt>
                <c:pt idx="10">
                  <c:v>-2437.66666666667</c:v>
                </c:pt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개관연도 대비 연도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명</a:t>
                </a:r>
              </a:p>
            </c:rich>
          </c:tx>
          <c:overlay val="0"/>
        </c:title>
        <c:numFmt formatCode="#,##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Malgun Gothic"/>
              <a:ea typeface="Malgun Gothic"/>
              <a:cs typeface="Malgun Gothic"/>
            </a:defRPr>
          </a:pPr>
        </a:p>
      </c:txPr>
    </c:legend>
    <c:plotVisOnly val="1"/>
    <c:dispBlanksAs val="gap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Malgun Gothic"/>
                <a:ea typeface="Malgun Gothic"/>
                <a:cs typeface="Malgun Gothic"/>
              </a:rPr>
              <a:t>청년비율 격차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Malgun Gothic"/>
              <a:ea typeface="Malgun Gothic"/>
              <a:cs typeface="Malgun Gothic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청년 격차(%p)</c:v>
          </c:tx>
          <c:spPr>
            <a:solidFill xmlns:a="http://schemas.openxmlformats.org/drawingml/2006/main">
              <a:srgbClr val="000000"/>
            </a:solidFill>
            <ns0:ln xmlns:ns0="http://schemas.openxmlformats.org/drawingml/2006/main" w="19050">
              <ns0:solidFill>
                <ns0:srgbClr val="000000"/>
              </ns0:solidFill>
              <ns0:prstDash val="solid"/>
            </ns0:ln>
          </c:spPr>
          <c:marker>
            <c:symbol val="circle"/>
            <c:size val="4"/>
            <c:spPr>
              <ns1:solidFill xmlns:ns1="http://schemas.openxmlformats.org/drawingml/2006/main">
                <ns1:srgbClr val="000000"/>
              </ns1:solidFill>
            </c:spPr>
          </c:marker>
          <c:cat>
            <c:strRef>
              <c:f>'05_F1963_연도별격차'!$A$7:$A$17</c:f>
              <c:strCache>
                <c:ptCount val="11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</c:strCache>
            </c:strRef>
          </c:cat>
          <c:val>
            <c:numRef>
              <c:f>'05_F1963_연도별격차'!$D$7:$D$17</c:f>
              <c:numCache>
                <c:formatCode>0.000</c:formatCode>
                <c:ptCount val="11"/>
                <c:pt idx="0">
                  <c:v>0.480094780744337</c:v>
                </c:pt>
                <c:pt idx="1">
                  <c:v>0.381689939070726</c:v>
                </c:pt>
                <c:pt idx="2">
                  <c:v>0.572525663687377</c:v>
                </c:pt>
                <c:pt idx="3">
                  <c:v>0.223679958067227</c:v>
                </c:pt>
                <c:pt idx="4">
                  <c:v>0</c:v>
                </c:pt>
                <c:pt idx="6">
                  <c:v>-0.619795337200259</c:v>
                </c:pt>
                <c:pt idx="7">
                  <c:v>-0.499663740836206</c:v>
                </c:pt>
                <c:pt idx="8">
                  <c:v>-1.2756808652187</c:v>
                </c:pt>
                <c:pt idx="9">
                  <c:v>-2.23792221217337</c:v>
                </c:pt>
                <c:pt idx="10">
                  <c:v>-2.47350645381655</c:v>
                </c:pt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개관연도 대비 연도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%p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Malgun Gothic"/>
              <a:ea typeface="Malgun Gothic"/>
              <a:cs typeface="Malgun Gothic"/>
            </a:defRPr>
          </a:pPr>
        </a:p>
      </c:txPr>
    </c:legend>
    <c:plotVisOnly val="1"/>
    <c:dispBlanksAs val="gap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Malgun Gothic"/>
                <a:ea typeface="Malgun Gothic"/>
                <a:cs typeface="Malgun Gothic"/>
              </a:rPr>
              <a:t>순이동 격차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Malgun Gothic"/>
              <a:ea typeface="Malgun Gothic"/>
              <a:cs typeface="Malgun Gothic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순이동 격차(명)</c:v>
          </c:tx>
          <c:spPr>
            <a:solidFill xmlns:a="http://schemas.openxmlformats.org/drawingml/2006/main">
              <a:srgbClr val="000000"/>
            </a:solidFill>
            <ns0:ln xmlns:ns0="http://schemas.openxmlformats.org/drawingml/2006/main" w="19050">
              <ns0:solidFill>
                <ns0:srgbClr val="000000"/>
              </ns0:solidFill>
              <ns0:prstDash val="solid"/>
            </ns0:ln>
          </c:spPr>
          <c:marker>
            <c:symbol val="circle"/>
            <c:size val="4"/>
            <c:spPr>
              <ns1:solidFill xmlns:ns1="http://schemas.openxmlformats.org/drawingml/2006/main">
                <ns1:srgbClr val="000000"/>
              </ns1:solidFill>
            </c:spPr>
          </c:marker>
          <c:cat>
            <c:strRef>
              <c:f>'05_F1963_연도별격차'!$A$7:$A$17</c:f>
              <c:strCache>
                <c:ptCount val="11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</c:strCache>
            </c:strRef>
          </c:cat>
          <c:val>
            <c:numRef>
              <c:f>'05_F1963_연도별격차'!$E$7:$E$17</c:f>
              <c:numCache>
                <c:formatCode>#,##0.0</c:formatCode>
                <c:ptCount val="11"/>
                <c:pt idx="0">
                  <c:v>331.333333333332</c:v>
                </c:pt>
                <c:pt idx="1">
                  <c:v>442</c:v>
                </c:pt>
                <c:pt idx="2">
                  <c:v>304.999999999999</c:v>
                </c:pt>
                <c:pt idx="3">
                  <c:v>330.666666666667</c:v>
                </c:pt>
                <c:pt idx="4">
                  <c:v>0</c:v>
                </c:pt>
                <c:pt idx="6">
                  <c:v>-222.666666666667</c:v>
                </c:pt>
                <c:pt idx="7">
                  <c:v>352</c:v>
                </c:pt>
                <c:pt idx="8">
                  <c:v>491.666666666667</c:v>
                </c:pt>
                <c:pt idx="9">
                  <c:v>-144</c:v>
                </c:pt>
                <c:pt idx="10">
                  <c:v>-537</c:v>
                </c:pt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개관연도 대비 연도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명</a:t>
                </a:r>
              </a:p>
            </c:rich>
          </c:tx>
          <c:overlay val="0"/>
        </c:title>
        <c:numFmt formatCode="#,##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Malgun Gothic"/>
              <a:ea typeface="Malgun Gothic"/>
              <a:cs typeface="Malgun Gothic"/>
            </a:defRPr>
          </a:pPr>
        </a:p>
      </c:txPr>
    </c:legend>
    <c:plotVisOnly val="1"/>
    <c:dispBlanksAs val="gap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Malgun Gothic"/>
                <a:ea typeface="Malgun Gothic"/>
                <a:cs typeface="Malgun Gothic"/>
              </a:rPr>
              <a:t>주민등록인구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Malgun Gothic"/>
              <a:ea typeface="Malgun Gothic"/>
              <a:cs typeface="Malgun Gothic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처치 인구(명)</c:v>
          </c:tx>
          <c:spPr>
            <a:solidFill xmlns:a="http://schemas.openxmlformats.org/drawingml/2006/main">
              <a:srgbClr val="000000"/>
            </a:solidFill>
            <ns0:ln xmlns:ns0="http://schemas.openxmlformats.org/drawingml/2006/main" w="19050">
              <ns0:solidFill>
                <ns0:srgbClr val="000000"/>
              </ns0:solidFill>
              <ns0:prstDash val="solid"/>
            </ns0:ln>
          </c:spPr>
          <c:marker>
            <c:symbol val="circle"/>
            <c:size val="4"/>
            <c:spPr>
              <ns1:solidFill xmlns:ns1="http://schemas.openxmlformats.org/drawingml/2006/main">
                <ns1:srgbClr val="000000"/>
              </ns1:solidFill>
            </c:spPr>
          </c:marker>
          <c:cat>
            <c:strRef>
              <c:f>'06_고색뉴지엄_인구청년'!$A$7:$A$17</c:f>
              <c:strCache>
                <c:ptCount val="11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</c:strCache>
            </c:strRef>
          </c:cat>
          <c:val>
            <c:numRef>
              <c:f>'06_고색뉴지엄_인구청년'!$C$7:$C$17</c:f>
              <c:numCache>
                <c:formatCode>#,##0.0</c:formatCode>
                <c:ptCount val="11"/>
                <c:pt idx="0">
                  <c:v>37272</c:v>
                </c:pt>
                <c:pt idx="1">
                  <c:v>36804</c:v>
                </c:pt>
                <c:pt idx="2">
                  <c:v>36361</c:v>
                </c:pt>
                <c:pt idx="3">
                  <c:v>35984</c:v>
                </c:pt>
                <c:pt idx="4">
                  <c:v>37691</c:v>
                </c:pt>
                <c:pt idx="6">
                  <c:v>42503</c:v>
                </c:pt>
                <c:pt idx="7">
                  <c:v>40970</c:v>
                </c:pt>
                <c:pt idx="8">
                  <c:v>41043</c:v>
                </c:pt>
                <c:pt idx="9">
                  <c:v>40351</c:v>
                </c:pt>
                <c:pt idx="10">
                  <c:v>40701</c:v>
                </c:pt>
              </c:numCache>
            </c:numRef>
          </c:val>
          <c:smooth val="0"/>
        </c:ser>
        <c:ser>
          <c:idx val="1"/>
          <c:order val="1"/>
          <c:tx>
            <c:v>비교 인구(명)</c:v>
          </c:tx>
          <c:spPr>
            <a:solidFill xmlns:a="http://schemas.openxmlformats.org/drawingml/2006/main">
              <a:srgbClr val="777777"/>
            </a:solidFill>
            <ns2:ln xmlns:ns2="http://schemas.openxmlformats.org/drawingml/2006/main" w="19050">
              <ns2:solidFill>
                <ns2:srgbClr val="777777"/>
              </ns2:solidFill>
              <ns2:prstDash val="dash"/>
            </ns2:ln>
          </c:spPr>
          <c:marker>
            <c:symbol val="circle"/>
            <c:size val="4"/>
            <c:spPr>
              <ns3:solidFill xmlns:ns3="http://schemas.openxmlformats.org/drawingml/2006/main">
                <ns3:srgbClr val="777777"/>
              </ns3:solidFill>
            </c:spPr>
          </c:marker>
          <c:cat>
            <c:strRef>
              <c:f>'06_고색뉴지엄_인구청년'!$A$7:$A$17</c:f>
              <c:strCache>
                <c:ptCount val="11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</c:strCache>
            </c:strRef>
          </c:cat>
          <c:val>
            <c:numRef>
              <c:f>'06_고색뉴지엄_인구청년'!$D$7:$D$17</c:f>
              <c:numCache>
                <c:formatCode>#,##0.0</c:formatCode>
                <c:ptCount val="11"/>
                <c:pt idx="0">
                  <c:v>27022.6666666667</c:v>
                </c:pt>
                <c:pt idx="1">
                  <c:v>27032.3333333333</c:v>
                </c:pt>
                <c:pt idx="2">
                  <c:v>27016</c:v>
                </c:pt>
                <c:pt idx="3">
                  <c:v>27439</c:v>
                </c:pt>
                <c:pt idx="4">
                  <c:v>27620</c:v>
                </c:pt>
                <c:pt idx="6">
                  <c:v>26580.6666666667</c:v>
                </c:pt>
                <c:pt idx="7">
                  <c:v>26092</c:v>
                </c:pt>
                <c:pt idx="8">
                  <c:v>25660.3333333333</c:v>
                </c:pt>
                <c:pt idx="9">
                  <c:v>25678</c:v>
                </c:pt>
                <c:pt idx="10">
                  <c:v>25939.3333333333</c:v>
                </c:pt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연도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명</a:t>
                </a:r>
              </a:p>
            </c:rich>
          </c:tx>
          <c:overlay val="0"/>
        </c:title>
        <c:numFmt formatCode="#,##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Malgun Gothic"/>
              <a:ea typeface="Malgun Gothic"/>
              <a:cs typeface="Malgun Gothic"/>
            </a:defRPr>
          </a:pPr>
        </a:p>
      </c:txPr>
    </c:legend>
    <c:plotVisOnly val="1"/>
    <c:dispBlanksAs val="gap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Malgun Gothic"/>
                <a:ea typeface="Malgun Gothic"/>
                <a:cs typeface="Malgun Gothic"/>
              </a:rPr>
              <a:t>청년비율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Malgun Gothic"/>
              <a:ea typeface="Malgun Gothic"/>
              <a:cs typeface="Malgun Gothic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처치 청년(%)</c:v>
          </c:tx>
          <c:spPr>
            <a:solidFill xmlns:a="http://schemas.openxmlformats.org/drawingml/2006/main">
              <a:srgbClr val="000000"/>
            </a:solidFill>
            <ns0:ln xmlns:ns0="http://schemas.openxmlformats.org/drawingml/2006/main" w="19050">
              <ns0:solidFill>
                <ns0:srgbClr val="000000"/>
              </ns0:solidFill>
              <ns0:prstDash val="solid"/>
            </ns0:ln>
          </c:spPr>
          <c:marker>
            <c:symbol val="circle"/>
            <c:size val="4"/>
            <c:spPr>
              <ns1:solidFill xmlns:ns1="http://schemas.openxmlformats.org/drawingml/2006/main">
                <ns1:srgbClr val="000000"/>
              </ns1:solidFill>
            </c:spPr>
          </c:marker>
          <c:cat>
            <c:strRef>
              <c:f>'06_고색뉴지엄_인구청년'!$A$7:$A$17</c:f>
              <c:strCache>
                <c:ptCount val="11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</c:strCache>
            </c:strRef>
          </c:cat>
          <c:val>
            <c:numRef>
              <c:f>'06_고색뉴지엄_인구청년'!$E$7:$E$17</c:f>
              <c:numCache>
                <c:formatCode>0.000</c:formatCode>
                <c:ptCount val="11"/>
                <c:pt idx="0">
                  <c:v>23.0199613650998</c:v>
                </c:pt>
                <c:pt idx="1">
                  <c:v>23.1713944136507</c:v>
                </c:pt>
                <c:pt idx="2">
                  <c:v>23.239184840901</c:v>
                </c:pt>
                <c:pt idx="3">
                  <c:v>23.2242107603379</c:v>
                </c:pt>
                <c:pt idx="4">
                  <c:v>23.3663208723568</c:v>
                </c:pt>
                <c:pt idx="6">
                  <c:v>24.1488836082159</c:v>
                </c:pt>
                <c:pt idx="7">
                  <c:v>23.5025628508665</c:v>
                </c:pt>
                <c:pt idx="8">
                  <c:v>23.4899982944717</c:v>
                </c:pt>
                <c:pt idx="9">
                  <c:v>23.1344948080593</c:v>
                </c:pt>
                <c:pt idx="10">
                  <c:v>22.5301589641532</c:v>
                </c:pt>
              </c:numCache>
            </c:numRef>
          </c:val>
          <c:smooth val="0"/>
        </c:ser>
        <c:ser>
          <c:idx val="1"/>
          <c:order val="1"/>
          <c:tx>
            <c:v>비교 청년(%)</c:v>
          </c:tx>
          <c:spPr>
            <a:solidFill xmlns:a="http://schemas.openxmlformats.org/drawingml/2006/main">
              <a:srgbClr val="777777"/>
            </a:solidFill>
            <ns2:ln xmlns:ns2="http://schemas.openxmlformats.org/drawingml/2006/main" w="19050">
              <ns2:solidFill>
                <ns2:srgbClr val="777777"/>
              </ns2:solidFill>
              <ns2:prstDash val="dash"/>
            </ns2:ln>
          </c:spPr>
          <c:marker>
            <c:symbol val="circle"/>
            <c:size val="4"/>
            <c:spPr>
              <ns3:solidFill xmlns:ns3="http://schemas.openxmlformats.org/drawingml/2006/main">
                <ns3:srgbClr val="777777"/>
              </ns3:solidFill>
            </c:spPr>
          </c:marker>
          <c:cat>
            <c:strRef>
              <c:f>'06_고색뉴지엄_인구청년'!$A$7:$A$17</c:f>
              <c:strCache>
                <c:ptCount val="11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</c:strCache>
            </c:strRef>
          </c:cat>
          <c:val>
            <c:numRef>
              <c:f>'06_고색뉴지엄_인구청년'!$F$7:$F$17</c:f>
              <c:numCache>
                <c:formatCode>0.000</c:formatCode>
                <c:ptCount val="11"/>
                <c:pt idx="0">
                  <c:v>19.2275938384551</c:v>
                </c:pt>
                <c:pt idx="1">
                  <c:v>19.0363981690828</c:v>
                </c:pt>
                <c:pt idx="2">
                  <c:v>18.9992437892302</c:v>
                </c:pt>
                <c:pt idx="3">
                  <c:v>18.7755974994316</c:v>
                </c:pt>
                <c:pt idx="4">
                  <c:v>18.3241674199216</c:v>
                </c:pt>
                <c:pt idx="6">
                  <c:v>17.8544840892666</c:v>
                </c:pt>
                <c:pt idx="7">
                  <c:v>18.0101550028486</c:v>
                </c:pt>
                <c:pt idx="8">
                  <c:v>18.0026051144575</c:v>
                </c:pt>
                <c:pt idx="9">
                  <c:v>18.3078731427738</c:v>
                </c:pt>
                <c:pt idx="10">
                  <c:v>18.2585470014576</c:v>
                </c:pt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연도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%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Malgun Gothic"/>
              <a:ea typeface="Malgun Gothic"/>
              <a:cs typeface="Malgun Gothic"/>
            </a:defRPr>
          </a:pPr>
        </a:p>
      </c:txPr>
    </c:legend>
    <c:plotVisOnly val="1"/>
    <c:dispBlanksAs val="gap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Malgun Gothic"/>
                <a:ea typeface="Malgun Gothic"/>
                <a:cs typeface="Malgun Gothic"/>
              </a:rPr>
              <a:t>개관 전 인구 변화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Malgun Gothic"/>
              <a:ea typeface="Malgun Gothic"/>
              <a:cs typeface="Malgun Gothic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처치 인구지수</c:v>
          </c:tx>
          <c:spPr>
            <a:solidFill xmlns:a="http://schemas.openxmlformats.org/drawingml/2006/main">
              <a:srgbClr val="000000"/>
            </a:solidFill>
            <ns0:ln xmlns:ns0="http://schemas.openxmlformats.org/drawingml/2006/main" w="19050">
              <ns0:solidFill>
                <ns0:srgbClr val="000000"/>
              </ns0:solidFill>
              <ns0:prstDash val="solid"/>
            </ns0:ln>
          </c:spPr>
          <c:marker>
            <c:symbol val="circle"/>
            <c:size val="4"/>
            <c:spPr>
              <ns1:solidFill xmlns:ns1="http://schemas.openxmlformats.org/drawingml/2006/main">
                <ns1:srgbClr val="000000"/>
              </ns1:solidFill>
            </c:spPr>
          </c:marker>
          <c:cat>
            <c:strRef>
              <c:f>'06_고색뉴지엄_인구청년'!$H$7:$H$11</c:f>
              <c:strCache>
                <c:ptCount val="5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</c:strCache>
            </c:strRef>
          </c:cat>
          <c:val>
            <c:numRef>
              <c:f>'06_고색뉴지엄_인구청년'!$I$7:$I$11</c:f>
              <c:numCache>
                <c:formatCode>0.00</c:formatCode>
                <c:ptCount val="5"/>
                <c:pt idx="0">
                  <c:v>100</c:v>
                </c:pt>
                <c:pt idx="1">
                  <c:v>98.74436574372183</c:v>
                </c:pt>
                <c:pt idx="2">
                  <c:v>97.5558059669457</c:v>
                </c:pt>
                <c:pt idx="3">
                  <c:v>96.54432281605494</c:v>
                </c:pt>
                <c:pt idx="4">
                  <c:v>101.12416827645418</c:v>
                </c:pt>
              </c:numCache>
            </c:numRef>
          </c:val>
          <c:smooth val="0"/>
        </c:ser>
        <c:ser>
          <c:idx val="1"/>
          <c:order val="1"/>
          <c:tx>
            <c:v>비교 인구지수</c:v>
          </c:tx>
          <c:spPr>
            <a:solidFill xmlns:a="http://schemas.openxmlformats.org/drawingml/2006/main">
              <a:srgbClr val="777777"/>
            </a:solidFill>
            <ns2:ln xmlns:ns2="http://schemas.openxmlformats.org/drawingml/2006/main" w="19050">
              <ns2:solidFill>
                <ns2:srgbClr val="777777"/>
              </ns2:solidFill>
              <ns2:prstDash val="dash"/>
            </ns2:ln>
          </c:spPr>
          <c:marker>
            <c:symbol val="circle"/>
            <c:size val="4"/>
            <c:spPr>
              <ns3:solidFill xmlns:ns3="http://schemas.openxmlformats.org/drawingml/2006/main">
                <ns3:srgbClr val="777777"/>
              </ns3:solidFill>
            </c:spPr>
          </c:marker>
          <c:cat>
            <c:strRef>
              <c:f>'06_고색뉴지엄_인구청년'!$H$7:$H$11</c:f>
              <c:strCache>
                <c:ptCount val="5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</c:strCache>
            </c:strRef>
          </c:cat>
          <c:val>
            <c:numRef>
              <c:f>'06_고색뉴지엄_인구청년'!$J$7:$J$11</c:f>
              <c:numCache>
                <c:formatCode>0.00</c:formatCode>
                <c:ptCount val="5"/>
                <c:pt idx="0">
                  <c:v>100</c:v>
                </c:pt>
                <c:pt idx="1">
                  <c:v>100.03577243795307</c:v>
                </c:pt>
                <c:pt idx="2">
                  <c:v>99.9753293531355</c:v>
                </c:pt>
                <c:pt idx="3">
                  <c:v>101.5406818966792</c:v>
                </c:pt>
                <c:pt idx="4">
                  <c:v>102.2104899590466</c:v>
                </c:pt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연도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첫 사전연도=100</a:t>
                </a:r>
              </a:p>
            </c:rich>
          </c:tx>
          <c:overlay val="0"/>
        </c:title>
        <c:numFmt formatCode="#,##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Malgun Gothic"/>
              <a:ea typeface="Malgun Gothic"/>
              <a:cs typeface="Malgun Gothic"/>
            </a:defRPr>
          </a:pPr>
        </a:p>
      </c:txPr>
    </c:legend>
    <c:plotVisOnly val="1"/>
    <c:dispBlanksAs val="gap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Malgun Gothic"/>
                <a:ea typeface="Malgun Gothic"/>
                <a:cs typeface="Malgun Gothic"/>
              </a:rPr>
              <a:t>개관 전 청년비율 변화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Malgun Gothic"/>
              <a:ea typeface="Malgun Gothic"/>
              <a:cs typeface="Malgun Gothic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처치 청년변화</c:v>
          </c:tx>
          <c:spPr>
            <a:solidFill xmlns:a="http://schemas.openxmlformats.org/drawingml/2006/main">
              <a:srgbClr val="000000"/>
            </a:solidFill>
            <ns0:ln xmlns:ns0="http://schemas.openxmlformats.org/drawingml/2006/main" w="19050">
              <ns0:solidFill>
                <ns0:srgbClr val="000000"/>
              </ns0:solidFill>
              <ns0:prstDash val="solid"/>
            </ns0:ln>
          </c:spPr>
          <c:marker>
            <c:symbol val="circle"/>
            <c:size val="4"/>
            <c:spPr>
              <ns1:solidFill xmlns:ns1="http://schemas.openxmlformats.org/drawingml/2006/main">
                <ns1:srgbClr val="000000"/>
              </ns1:solidFill>
            </c:spPr>
          </c:marker>
          <c:cat>
            <c:strRef>
              <c:f>'06_고색뉴지엄_인구청년'!$H$7:$H$11</c:f>
              <c:strCache>
                <c:ptCount val="5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</c:strCache>
            </c:strRef>
          </c:cat>
          <c:val>
            <c:numRef>
              <c:f>'06_고색뉴지엄_인구청년'!$K$7:$K$11</c:f>
              <c:numCache>
                <c:formatCode>0.000</c:formatCode>
                <c:ptCount val="5"/>
                <c:pt idx="0">
                  <c:v>0</c:v>
                </c:pt>
                <c:pt idx="1">
                  <c:v>0.15143304855089923</c:v>
                </c:pt>
                <c:pt idx="2">
                  <c:v>0.2192234758012006</c:v>
                </c:pt>
                <c:pt idx="3">
                  <c:v>0.20424939523810082</c:v>
                </c:pt>
                <c:pt idx="4">
                  <c:v>0.3463595072569987</c:v>
                </c:pt>
              </c:numCache>
            </c:numRef>
          </c:val>
          <c:smooth val="0"/>
        </c:ser>
        <c:ser>
          <c:idx val="1"/>
          <c:order val="1"/>
          <c:tx>
            <c:v>비교 청년변화</c:v>
          </c:tx>
          <c:spPr>
            <a:solidFill xmlns:a="http://schemas.openxmlformats.org/drawingml/2006/main">
              <a:srgbClr val="777777"/>
            </a:solidFill>
            <ns2:ln xmlns:ns2="http://schemas.openxmlformats.org/drawingml/2006/main" w="19050">
              <ns2:solidFill>
                <ns2:srgbClr val="777777"/>
              </ns2:solidFill>
              <ns2:prstDash val="dash"/>
            </ns2:ln>
          </c:spPr>
          <c:marker>
            <c:symbol val="circle"/>
            <c:size val="4"/>
            <c:spPr>
              <ns3:solidFill xmlns:ns3="http://schemas.openxmlformats.org/drawingml/2006/main">
                <ns3:srgbClr val="777777"/>
              </ns3:solidFill>
            </c:spPr>
          </c:marker>
          <c:cat>
            <c:strRef>
              <c:f>'06_고색뉴지엄_인구청년'!$H$7:$H$11</c:f>
              <c:strCache>
                <c:ptCount val="5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</c:strCache>
            </c:strRef>
          </c:cat>
          <c:val>
            <c:numRef>
              <c:f>'06_고색뉴지엄_인구청년'!$L$7:$L$11</c:f>
              <c:numCache>
                <c:formatCode>0.000</c:formatCode>
                <c:ptCount val="5"/>
                <c:pt idx="0">
                  <c:v>0</c:v>
                </c:pt>
                <c:pt idx="1">
                  <c:v>-0.19119566937229848</c:v>
                </c:pt>
                <c:pt idx="2">
                  <c:v>-0.22835004922490043</c:v>
                </c:pt>
                <c:pt idx="3">
                  <c:v>-0.45199633902349845</c:v>
                </c:pt>
                <c:pt idx="4">
                  <c:v>-0.903426418533499</c:v>
                </c:pt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연도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%p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Malgun Gothic"/>
              <a:ea typeface="Malgun Gothic"/>
              <a:cs typeface="Malgun Gothic"/>
            </a:defRPr>
          </a:pPr>
        </a:p>
      </c:txPr>
    </c:legend>
    <c:plotVisOnly val="1"/>
    <c:dispBlanksAs val="gap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Malgun Gothic"/>
                <a:ea typeface="Malgun Gothic"/>
                <a:cs typeface="Malgun Gothic"/>
              </a:rPr>
              <a:t>인구 격차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Malgun Gothic"/>
              <a:ea typeface="Malgun Gothic"/>
              <a:cs typeface="Malgun Gothic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인구 격차(명)</c:v>
          </c:tx>
          <c:spPr>
            <a:solidFill xmlns:a="http://schemas.openxmlformats.org/drawingml/2006/main">
              <a:srgbClr val="000000"/>
            </a:solidFill>
            <ns0:ln xmlns:ns0="http://schemas.openxmlformats.org/drawingml/2006/main" w="19050">
              <ns0:solidFill>
                <ns0:srgbClr val="000000"/>
              </ns0:solidFill>
              <ns0:prstDash val="solid"/>
            </ns0:ln>
          </c:spPr>
          <c:marker>
            <c:symbol val="circle"/>
            <c:size val="4"/>
            <c:spPr>
              <ns1:solidFill xmlns:ns1="http://schemas.openxmlformats.org/drawingml/2006/main">
                <ns1:srgbClr val="000000"/>
              </ns1:solidFill>
            </c:spPr>
          </c:marker>
          <c:cat>
            <c:strRef>
              <c:f>'07_고색뉴지엄_연도별격차'!$A$7:$A$17</c:f>
              <c:strCache>
                <c:ptCount val="11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</c:strCache>
            </c:strRef>
          </c:cat>
          <c:val>
            <c:numRef>
              <c:f>'07_고색뉴지엄_연도별격차'!$C$7:$C$17</c:f>
              <c:numCache>
                <c:formatCode>#,##0.0</c:formatCode>
                <c:ptCount val="11"/>
                <c:pt idx="0">
                  <c:v>178.333333333345</c:v>
                </c:pt>
                <c:pt idx="1">
                  <c:v>-299.333333333369</c:v>
                </c:pt>
                <c:pt idx="2">
                  <c:v>-725.999999999994</c:v>
                </c:pt>
                <c:pt idx="3">
                  <c:v>-1526.00000000002</c:v>
                </c:pt>
                <c:pt idx="4">
                  <c:v>0</c:v>
                </c:pt>
                <c:pt idx="6">
                  <c:v>5851.33333333334</c:v>
                </c:pt>
                <c:pt idx="7">
                  <c:v>4807</c:v>
                </c:pt>
                <c:pt idx="8">
                  <c:v>5311.66666666667</c:v>
                </c:pt>
                <c:pt idx="9">
                  <c:v>4602</c:v>
                </c:pt>
                <c:pt idx="10">
                  <c:v>4690.66666666667</c:v>
                </c:pt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개관연도 대비 연도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명</a:t>
                </a:r>
              </a:p>
            </c:rich>
          </c:tx>
          <c:overlay val="0"/>
        </c:title>
        <c:numFmt formatCode="#,##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Malgun Gothic"/>
              <a:ea typeface="Malgun Gothic"/>
              <a:cs typeface="Malgun Gothic"/>
            </a:defRPr>
          </a:pPr>
        </a:p>
      </c:txPr>
    </c:legend>
    <c:plotVisOnly val="1"/>
    <c:dispBlanksAs val="gap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Malgun Gothic"/>
                <a:ea typeface="Malgun Gothic"/>
                <a:cs typeface="Malgun Gothic"/>
              </a:rPr>
              <a:t>청년비율 격차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Malgun Gothic"/>
              <a:ea typeface="Malgun Gothic"/>
              <a:cs typeface="Malgun Gothic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청년 격차(%p)</c:v>
          </c:tx>
          <c:spPr>
            <a:solidFill xmlns:a="http://schemas.openxmlformats.org/drawingml/2006/main">
              <a:srgbClr val="000000"/>
            </a:solidFill>
            <ns0:ln xmlns:ns0="http://schemas.openxmlformats.org/drawingml/2006/main" w="19050">
              <ns0:solidFill>
                <ns0:srgbClr val="000000"/>
              </ns0:solidFill>
              <ns0:prstDash val="solid"/>
            </ns0:ln>
          </c:spPr>
          <c:marker>
            <c:symbol val="circle"/>
            <c:size val="4"/>
            <c:spPr>
              <ns1:solidFill xmlns:ns1="http://schemas.openxmlformats.org/drawingml/2006/main">
                <ns1:srgbClr val="000000"/>
              </ns1:solidFill>
            </c:spPr>
          </c:marker>
          <c:cat>
            <c:strRef>
              <c:f>'07_고색뉴지엄_연도별격차'!$A$7:$A$17</c:f>
              <c:strCache>
                <c:ptCount val="11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</c:strCache>
            </c:strRef>
          </c:cat>
          <c:val>
            <c:numRef>
              <c:f>'07_고색뉴지엄_연도별격차'!$D$7:$D$17</c:f>
              <c:numCache>
                <c:formatCode>0.000</c:formatCode>
                <c:ptCount val="11"/>
                <c:pt idx="0">
                  <c:v>-1.24978592579045</c:v>
                </c:pt>
                <c:pt idx="1">
                  <c:v>-0.907157207867338</c:v>
                </c:pt>
                <c:pt idx="2">
                  <c:v>-0.802212400764464</c:v>
                </c:pt>
                <c:pt idx="3">
                  <c:v>-0.59354019152883</c:v>
                </c:pt>
                <c:pt idx="4">
                  <c:v>0</c:v>
                </c:pt>
                <c:pt idx="6">
                  <c:v>1.25224606651411</c:v>
                </c:pt>
                <c:pt idx="7">
                  <c:v>0.450254395582714</c:v>
                </c:pt>
                <c:pt idx="8">
                  <c:v>0.445239727579007</c:v>
                </c:pt>
                <c:pt idx="9">
                  <c:v>-0.215531787149675</c:v>
                </c:pt>
                <c:pt idx="10">
                  <c:v>-0.770541489739617</c:v>
                </c:pt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개관연도 대비 연도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%p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Malgun Gothic"/>
              <a:ea typeface="Malgun Gothic"/>
              <a:cs typeface="Malgun Gothic"/>
            </a:defRPr>
          </a:pPr>
        </a:p>
      </c:txPr>
    </c:legend>
    <c:plotVisOnly val="1"/>
    <c:dispBlanksAs val="gap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Malgun Gothic"/>
                <a:ea typeface="Malgun Gothic"/>
                <a:cs typeface="Malgun Gothic"/>
              </a:rPr>
              <a:t>순이동 격차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Malgun Gothic"/>
              <a:ea typeface="Malgun Gothic"/>
              <a:cs typeface="Malgun Gothic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순이동 격차(명)</c:v>
          </c:tx>
          <c:spPr>
            <a:solidFill xmlns:a="http://schemas.openxmlformats.org/drawingml/2006/main">
              <a:srgbClr val="000000"/>
            </a:solidFill>
            <ns0:ln xmlns:ns0="http://schemas.openxmlformats.org/drawingml/2006/main" w="19050">
              <ns0:solidFill>
                <ns0:srgbClr val="000000"/>
              </ns0:solidFill>
              <ns0:prstDash val="solid"/>
            </ns0:ln>
          </c:spPr>
          <c:marker>
            <c:symbol val="circle"/>
            <c:size val="4"/>
            <c:spPr>
              <ns1:solidFill xmlns:ns1="http://schemas.openxmlformats.org/drawingml/2006/main">
                <ns1:srgbClr val="000000"/>
              </ns1:solidFill>
            </c:spPr>
          </c:marker>
          <c:cat>
            <c:strRef>
              <c:f>'07_고색뉴지엄_연도별격차'!$A$7:$A$17</c:f>
              <c:strCache>
                <c:ptCount val="11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</c:strCache>
            </c:strRef>
          </c:cat>
          <c:val>
            <c:numRef>
              <c:f>'07_고색뉴지엄_연도별격차'!$E$7:$E$17</c:f>
              <c:numCache>
                <c:formatCode>#,##0.0</c:formatCode>
                <c:ptCount val="11"/>
                <c:pt idx="0">
                  <c:v>-2052.66666666667</c:v>
                </c:pt>
                <c:pt idx="1">
                  <c:v>-1930.33333333335</c:v>
                </c:pt>
                <c:pt idx="2">
                  <c:v>-1938.33333333333</c:v>
                </c:pt>
                <c:pt idx="3">
                  <c:v>-2321</c:v>
                </c:pt>
                <c:pt idx="4">
                  <c:v>0</c:v>
                </c:pt>
                <c:pt idx="6">
                  <c:v>4301</c:v>
                </c:pt>
                <c:pt idx="7">
                  <c:v>-2660.66666666667</c:v>
                </c:pt>
                <c:pt idx="8">
                  <c:v>-1058</c:v>
                </c:pt>
                <c:pt idx="9">
                  <c:v>-2180.33333333333</c:v>
                </c:pt>
                <c:pt idx="10">
                  <c:v>-1474.33333333334</c:v>
                </c:pt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개관연도 대비 연도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명</a:t>
                </a:r>
              </a:p>
            </c:rich>
          </c:tx>
          <c:overlay val="0"/>
        </c:title>
        <c:numFmt formatCode="#,##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Malgun Gothic"/>
              <a:ea typeface="Malgun Gothic"/>
              <a:cs typeface="Malgun Gothic"/>
            </a:defRPr>
          </a:pPr>
        </a:p>
      </c:txPr>
    </c:legend>
    <c:plotVisOnly val="1"/>
    <c:dispBlanksAs val="gap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Malgun Gothic"/>
                <a:ea typeface="Malgun Gothic"/>
                <a:cs typeface="Malgun Gothic"/>
              </a:rPr>
              <a:t>주민등록인구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Malgun Gothic"/>
              <a:ea typeface="Malgun Gothic"/>
              <a:cs typeface="Malgun Gothic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처치 인구(명)</c:v>
          </c:tx>
          <c:spPr>
            <a:solidFill xmlns:a="http://schemas.openxmlformats.org/drawingml/2006/main">
              <a:srgbClr val="000000"/>
            </a:solidFill>
            <ns0:ln xmlns:ns0="http://schemas.openxmlformats.org/drawingml/2006/main" w="19050">
              <ns0:solidFill>
                <ns0:srgbClr val="000000"/>
              </ns0:solidFill>
              <ns0:prstDash val="solid"/>
            </ns0:ln>
          </c:spPr>
          <c:marker>
            <c:symbol val="circle"/>
            <c:size val="4"/>
            <c:spPr>
              <ns1:solidFill xmlns:ns1="http://schemas.openxmlformats.org/drawingml/2006/main">
                <ns1:srgbClr val="000000"/>
              </ns1:solidFill>
            </c:spPr>
          </c:marker>
          <c:cat>
            <c:strRef>
              <c:f>'08_청주 미술관_인구청년'!$A$7:$A$17</c:f>
              <c:strCache>
                <c:ptCount val="11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</c:strCache>
            </c:strRef>
          </c:cat>
          <c:val>
            <c:numRef>
              <c:f>'08_청주 미술관_인구청년'!$C$7:$C$17</c:f>
              <c:numCache>
                <c:formatCode>#,##0.0</c:formatCode>
                <c:ptCount val="11"/>
                <c:pt idx="0">
                  <c:v>12165</c:v>
                </c:pt>
                <c:pt idx="1">
                  <c:v>11970</c:v>
                </c:pt>
                <c:pt idx="2">
                  <c:v>11572</c:v>
                </c:pt>
                <c:pt idx="3">
                  <c:v>12838</c:v>
                </c:pt>
                <c:pt idx="4">
                  <c:v>12702</c:v>
                </c:pt>
                <c:pt idx="6">
                  <c:v>11876</c:v>
                </c:pt>
                <c:pt idx="7">
                  <c:v>13035</c:v>
                </c:pt>
                <c:pt idx="8">
                  <c:v>13379</c:v>
                </c:pt>
                <c:pt idx="9">
                  <c:v>13276</c:v>
                </c:pt>
                <c:pt idx="10">
                  <c:v>13102</c:v>
                </c:pt>
              </c:numCache>
            </c:numRef>
          </c:val>
          <c:smooth val="0"/>
        </c:ser>
        <c:ser>
          <c:idx val="1"/>
          <c:order val="1"/>
          <c:tx>
            <c:v>비교 인구(명)</c:v>
          </c:tx>
          <c:spPr>
            <a:solidFill xmlns:a="http://schemas.openxmlformats.org/drawingml/2006/main">
              <a:srgbClr val="777777"/>
            </a:solidFill>
            <ns2:ln xmlns:ns2="http://schemas.openxmlformats.org/drawingml/2006/main" w="19050">
              <ns2:solidFill>
                <ns2:srgbClr val="777777"/>
              </ns2:solidFill>
              <ns2:prstDash val="dash"/>
            </ns2:ln>
          </c:spPr>
          <c:marker>
            <c:symbol val="circle"/>
            <c:size val="4"/>
            <c:spPr>
              <ns3:solidFill xmlns:ns3="http://schemas.openxmlformats.org/drawingml/2006/main">
                <ns3:srgbClr val="777777"/>
              </ns3:solidFill>
            </c:spPr>
          </c:marker>
          <c:cat>
            <c:strRef>
              <c:f>'08_청주 미술관_인구청년'!$A$7:$A$17</c:f>
              <c:strCache>
                <c:ptCount val="11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</c:strCache>
            </c:strRef>
          </c:cat>
          <c:val>
            <c:numRef>
              <c:f>'08_청주 미술관_인구청년'!$D$7:$D$17</c:f>
              <c:numCache>
                <c:formatCode>#,##0.0</c:formatCode>
                <c:ptCount val="11"/>
                <c:pt idx="0">
                  <c:v>11573.3333333333</c:v>
                </c:pt>
                <c:pt idx="1">
                  <c:v>11799.3333333333</c:v>
                </c:pt>
                <c:pt idx="2">
                  <c:v>11469.3333333333</c:v>
                </c:pt>
                <c:pt idx="3">
                  <c:v>11208</c:v>
                </c:pt>
                <c:pt idx="4">
                  <c:v>10869</c:v>
                </c:pt>
                <c:pt idx="6">
                  <c:v>10015.6666666667</c:v>
                </c:pt>
                <c:pt idx="7">
                  <c:v>9571.66666666667</c:v>
                </c:pt>
                <c:pt idx="8">
                  <c:v>9380.66666666667</c:v>
                </c:pt>
                <c:pt idx="9">
                  <c:v>9703</c:v>
                </c:pt>
                <c:pt idx="10">
                  <c:v>10214.6666666667</c:v>
                </c:pt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연도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명</a:t>
                </a:r>
              </a:p>
            </c:rich>
          </c:tx>
          <c:overlay val="0"/>
        </c:title>
        <c:numFmt formatCode="#,##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Malgun Gothic"/>
              <a:ea typeface="Malgun Gothic"/>
              <a:cs typeface="Malgun Gothic"/>
            </a:defRPr>
          </a:pPr>
        </a:p>
      </c:txPr>
    </c:legend>
    <c:plotVisOnly val="1"/>
    <c:dispBlanksAs val="gap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Malgun Gothic"/>
                <a:ea typeface="Malgun Gothic"/>
                <a:cs typeface="Malgun Gothic"/>
              </a:rPr>
              <a:t>청년비율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Malgun Gothic"/>
              <a:ea typeface="Malgun Gothic"/>
              <a:cs typeface="Malgun Gothic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처치 청년(%)</c:v>
          </c:tx>
          <c:spPr>
            <a:solidFill xmlns:a="http://schemas.openxmlformats.org/drawingml/2006/main">
              <a:srgbClr val="000000"/>
            </a:solidFill>
            <ns0:ln xmlns:ns0="http://schemas.openxmlformats.org/drawingml/2006/main" w="19050">
              <ns0:solidFill>
                <ns0:srgbClr val="000000"/>
              </ns0:solidFill>
              <ns0:prstDash val="solid"/>
            </ns0:ln>
          </c:spPr>
          <c:marker>
            <c:symbol val="circle"/>
            <c:size val="4"/>
            <c:spPr>
              <ns1:solidFill xmlns:ns1="http://schemas.openxmlformats.org/drawingml/2006/main">
                <ns1:srgbClr val="000000"/>
              </ns1:solidFill>
            </c:spPr>
          </c:marker>
          <c:cat>
            <c:strRef>
              <c:f>'08_청주 미술관_인구청년'!$A$7:$A$17</c:f>
              <c:strCache>
                <c:ptCount val="11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</c:strCache>
            </c:strRef>
          </c:cat>
          <c:val>
            <c:numRef>
              <c:f>'08_청주 미술관_인구청년'!$E$7:$E$17</c:f>
              <c:numCache>
                <c:formatCode>0.000</c:formatCode>
                <c:ptCount val="11"/>
                <c:pt idx="0">
                  <c:v>24.0032881216605</c:v>
                </c:pt>
                <c:pt idx="1">
                  <c:v>23.2581453634085</c:v>
                </c:pt>
                <c:pt idx="2">
                  <c:v>22.8050466643623</c:v>
                </c:pt>
                <c:pt idx="3">
                  <c:v>22.4411902165446</c:v>
                </c:pt>
                <c:pt idx="4">
                  <c:v>21.9020626672965</c:v>
                </c:pt>
                <c:pt idx="6">
                  <c:v>21.1771640282923</c:v>
                </c:pt>
                <c:pt idx="7">
                  <c:v>22.0790180283851</c:v>
                </c:pt>
                <c:pt idx="8">
                  <c:v>22.3185589356454</c:v>
                </c:pt>
                <c:pt idx="9">
                  <c:v>22.4841819825249</c:v>
                </c:pt>
                <c:pt idx="10">
                  <c:v>22.5767058464356</c:v>
                </c:pt>
              </c:numCache>
            </c:numRef>
          </c:val>
          <c:smooth val="0"/>
        </c:ser>
        <c:ser>
          <c:idx val="1"/>
          <c:order val="1"/>
          <c:tx>
            <c:v>비교 청년(%)</c:v>
          </c:tx>
          <c:spPr>
            <a:solidFill xmlns:a="http://schemas.openxmlformats.org/drawingml/2006/main">
              <a:srgbClr val="777777"/>
            </a:solidFill>
            <ns2:ln xmlns:ns2="http://schemas.openxmlformats.org/drawingml/2006/main" w="19050">
              <ns2:solidFill>
                <ns2:srgbClr val="777777"/>
              </ns2:solidFill>
              <ns2:prstDash val="dash"/>
            </ns2:ln>
          </c:spPr>
          <c:marker>
            <c:symbol val="circle"/>
            <c:size val="4"/>
            <c:spPr>
              <ns3:solidFill xmlns:ns3="http://schemas.openxmlformats.org/drawingml/2006/main">
                <ns3:srgbClr val="777777"/>
              </ns3:solidFill>
            </c:spPr>
          </c:marker>
          <c:cat>
            <c:strRef>
              <c:f>'08_청주 미술관_인구청년'!$A$7:$A$17</c:f>
              <c:strCache>
                <c:ptCount val="11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</c:strCache>
            </c:strRef>
          </c:cat>
          <c:val>
            <c:numRef>
              <c:f>'08_청주 미술관_인구청년'!$F$7:$F$17</c:f>
              <c:numCache>
                <c:formatCode>0.000</c:formatCode>
                <c:ptCount val="11"/>
                <c:pt idx="0">
                  <c:v>23.4496758069037</c:v>
                </c:pt>
                <c:pt idx="1">
                  <c:v>23.8189023730351</c:v>
                </c:pt>
                <c:pt idx="2">
                  <c:v>23.2664696456518</c:v>
                </c:pt>
                <c:pt idx="3">
                  <c:v>22.7780656448529</c:v>
                </c:pt>
                <c:pt idx="4">
                  <c:v>22.2838352436232</c:v>
                </c:pt>
                <c:pt idx="6">
                  <c:v>21.6889513509448</c:v>
                </c:pt>
                <c:pt idx="7">
                  <c:v>21.1297369383435</c:v>
                </c:pt>
                <c:pt idx="8">
                  <c:v>21.0386352324403</c:v>
                </c:pt>
                <c:pt idx="9">
                  <c:v>22.2318879910926</c:v>
                </c:pt>
                <c:pt idx="10">
                  <c:v>22.9633713699653</c:v>
                </c:pt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연도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%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Malgun Gothic"/>
              <a:ea typeface="Malgun Gothic"/>
              <a:cs typeface="Malgun Gothic"/>
            </a:defRPr>
          </a:pPr>
        </a:p>
      </c:txPr>
    </c:legend>
    <c:plotVisOnly val="1"/>
    <c:dispBlanksAs val="gap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Malgun Gothic"/>
                <a:ea typeface="Malgun Gothic"/>
                <a:cs typeface="Malgun Gothic"/>
              </a:rPr>
              <a:t>개관 전 인구 변화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Malgun Gothic"/>
              <a:ea typeface="Malgun Gothic"/>
              <a:cs typeface="Malgun Gothic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처치 인구지수</c:v>
          </c:tx>
          <c:spPr>
            <a:solidFill xmlns:a="http://schemas.openxmlformats.org/drawingml/2006/main">
              <a:srgbClr val="000000"/>
            </a:solidFill>
            <ns0:ln xmlns:ns0="http://schemas.openxmlformats.org/drawingml/2006/main" w="19050">
              <ns0:solidFill>
                <ns0:srgbClr val="000000"/>
              </ns0:solidFill>
              <ns0:prstDash val="solid"/>
            </ns0:ln>
          </c:spPr>
          <c:marker>
            <c:symbol val="circle"/>
            <c:size val="4"/>
            <c:spPr>
              <ns1:solidFill xmlns:ns1="http://schemas.openxmlformats.org/drawingml/2006/main">
                <ns1:srgbClr val="000000"/>
              </ns1:solidFill>
            </c:spPr>
          </c:marker>
          <c:cat>
            <c:strRef>
              <c:f>'08_청주 미술관_인구청년'!$H$7:$H$11</c:f>
              <c:strCache>
                <c:ptCount val="5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</c:strCache>
            </c:strRef>
          </c:cat>
          <c:val>
            <c:numRef>
              <c:f>'08_청주 미술관_인구청년'!$I$7:$I$11</c:f>
              <c:numCache>
                <c:formatCode>0.00</c:formatCode>
                <c:ptCount val="5"/>
                <c:pt idx="0">
                  <c:v>100</c:v>
                </c:pt>
                <c:pt idx="1">
                  <c:v>98.39704069050555</c:v>
                </c:pt>
                <c:pt idx="2">
                  <c:v>95.12535963830662</c:v>
                </c:pt>
                <c:pt idx="3">
                  <c:v>105.53226469379366</c:v>
                </c:pt>
                <c:pt idx="4">
                  <c:v>104.41430332922319</c:v>
                </c:pt>
              </c:numCache>
            </c:numRef>
          </c:val>
          <c:smooth val="0"/>
        </c:ser>
        <c:ser>
          <c:idx val="1"/>
          <c:order val="1"/>
          <c:tx>
            <c:v>비교 인구지수</c:v>
          </c:tx>
          <c:spPr>
            <a:solidFill xmlns:a="http://schemas.openxmlformats.org/drawingml/2006/main">
              <a:srgbClr val="777777"/>
            </a:solidFill>
            <ns2:ln xmlns:ns2="http://schemas.openxmlformats.org/drawingml/2006/main" w="19050">
              <ns2:solidFill>
                <ns2:srgbClr val="777777"/>
              </ns2:solidFill>
              <ns2:prstDash val="dash"/>
            </ns2:ln>
          </c:spPr>
          <c:marker>
            <c:symbol val="circle"/>
            <c:size val="4"/>
            <c:spPr>
              <ns3:solidFill xmlns:ns3="http://schemas.openxmlformats.org/drawingml/2006/main">
                <ns3:srgbClr val="777777"/>
              </ns3:solidFill>
            </c:spPr>
          </c:marker>
          <c:cat>
            <c:strRef>
              <c:f>'08_청주 미술관_인구청년'!$H$7:$H$11</c:f>
              <c:strCache>
                <c:ptCount val="5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</c:strCache>
            </c:strRef>
          </c:cat>
          <c:val>
            <c:numRef>
              <c:f>'08_청주 미술관_인구청년'!$J$7:$J$11</c:f>
              <c:numCache>
                <c:formatCode>0.00</c:formatCode>
                <c:ptCount val="5"/>
                <c:pt idx="0">
                  <c:v>100</c:v>
                </c:pt>
                <c:pt idx="1">
                  <c:v>101.95276497695853</c:v>
                </c:pt>
                <c:pt idx="2">
                  <c:v>99.10138248847926</c:v>
                </c:pt>
                <c:pt idx="3">
                  <c:v>96.84331797235052</c:v>
                </c:pt>
                <c:pt idx="4">
                  <c:v>93.91417050691273</c:v>
                </c:pt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연도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첫 사전연도=100</a:t>
                </a:r>
              </a:p>
            </c:rich>
          </c:tx>
          <c:overlay val="0"/>
        </c:title>
        <c:numFmt formatCode="#,##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Malgun Gothic"/>
              <a:ea typeface="Malgun Gothic"/>
              <a:cs typeface="Malgun Gothic"/>
            </a:defRPr>
          </a:pPr>
        </a:p>
      </c:txPr>
    </c:legend>
    <c:plotVisOnly val="1"/>
    <c:dispBlanksAs val="gap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Malgun Gothic"/>
                <a:ea typeface="Malgun Gothic"/>
                <a:cs typeface="Malgun Gothic"/>
              </a:rPr>
              <a:t>개관 전 청년비율 변화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Malgun Gothic"/>
              <a:ea typeface="Malgun Gothic"/>
              <a:cs typeface="Malgun Gothic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처치 청년변화</c:v>
          </c:tx>
          <c:spPr>
            <a:solidFill xmlns:a="http://schemas.openxmlformats.org/drawingml/2006/main">
              <a:srgbClr val="000000"/>
            </a:solidFill>
            <ns0:ln xmlns:ns0="http://schemas.openxmlformats.org/drawingml/2006/main" w="19050">
              <ns0:solidFill>
                <ns0:srgbClr val="000000"/>
              </ns0:solidFill>
              <ns0:prstDash val="solid"/>
            </ns0:ln>
          </c:spPr>
          <c:marker>
            <c:symbol val="circle"/>
            <c:size val="4"/>
            <c:spPr>
              <ns1:solidFill xmlns:ns1="http://schemas.openxmlformats.org/drawingml/2006/main">
                <ns1:srgbClr val="000000"/>
              </ns1:solidFill>
            </c:spPr>
          </c:marker>
          <c:cat>
            <c:strRef>
              <c:f>'08_청주 미술관_인구청년'!$H$7:$H$11</c:f>
              <c:strCache>
                <c:ptCount val="5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</c:strCache>
            </c:strRef>
          </c:cat>
          <c:val>
            <c:numRef>
              <c:f>'08_청주 미술관_인구청년'!$K$7:$K$11</c:f>
              <c:numCache>
                <c:formatCode>0.000</c:formatCode>
                <c:ptCount val="5"/>
                <c:pt idx="0">
                  <c:v>0</c:v>
                </c:pt>
                <c:pt idx="1">
                  <c:v>-0.7451427582520012</c:v>
                </c:pt>
                <c:pt idx="2">
                  <c:v>-1.1982414572981988</c:v>
                </c:pt>
                <c:pt idx="3">
                  <c:v>-1.5620979051158983</c:v>
                </c:pt>
                <c:pt idx="4">
                  <c:v>-2.1012254543639983</c:v>
                </c:pt>
              </c:numCache>
            </c:numRef>
          </c:val>
          <c:smooth val="0"/>
        </c:ser>
        <c:ser>
          <c:idx val="1"/>
          <c:order val="1"/>
          <c:tx>
            <c:v>비교 청년변화</c:v>
          </c:tx>
          <c:spPr>
            <a:solidFill xmlns:a="http://schemas.openxmlformats.org/drawingml/2006/main">
              <a:srgbClr val="777777"/>
            </a:solidFill>
            <ns2:ln xmlns:ns2="http://schemas.openxmlformats.org/drawingml/2006/main" w="19050">
              <ns2:solidFill>
                <ns2:srgbClr val="777777"/>
              </ns2:solidFill>
              <ns2:prstDash val="dash"/>
            </ns2:ln>
          </c:spPr>
          <c:marker>
            <c:symbol val="circle"/>
            <c:size val="4"/>
            <c:spPr>
              <ns3:solidFill xmlns:ns3="http://schemas.openxmlformats.org/drawingml/2006/main">
                <ns3:srgbClr val="777777"/>
              </ns3:solidFill>
            </c:spPr>
          </c:marker>
          <c:cat>
            <c:strRef>
              <c:f>'08_청주 미술관_인구청년'!$H$7:$H$11</c:f>
              <c:strCache>
                <c:ptCount val="5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</c:strCache>
            </c:strRef>
          </c:cat>
          <c:val>
            <c:numRef>
              <c:f>'08_청주 미술관_인구청년'!$L$7:$L$11</c:f>
              <c:numCache>
                <c:formatCode>0.000</c:formatCode>
                <c:ptCount val="5"/>
                <c:pt idx="0">
                  <c:v>0</c:v>
                </c:pt>
                <c:pt idx="1">
                  <c:v>0.3692265661314025</c:v>
                </c:pt>
                <c:pt idx="2">
                  <c:v>-0.18320616125189915</c:v>
                </c:pt>
                <c:pt idx="3">
                  <c:v>-0.671610162050797</c:v>
                </c:pt>
                <c:pt idx="4">
                  <c:v>-1.1658405632804971</c:v>
                </c:pt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연도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%p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Malgun Gothic"/>
              <a:ea typeface="Malgun Gothic"/>
              <a:cs typeface="Malgun Gothic"/>
            </a:defRPr>
          </a:pPr>
        </a:p>
      </c:txPr>
    </c:legend>
    <c:plotVisOnly val="1"/>
    <c:dispBlanksAs val="gap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Malgun Gothic"/>
                <a:ea typeface="Malgun Gothic"/>
                <a:cs typeface="Malgun Gothic"/>
              </a:rPr>
              <a:t>인구 격차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Malgun Gothic"/>
              <a:ea typeface="Malgun Gothic"/>
              <a:cs typeface="Malgun Gothic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인구 격차(명)</c:v>
          </c:tx>
          <c:spPr>
            <a:solidFill xmlns:a="http://schemas.openxmlformats.org/drawingml/2006/main">
              <a:srgbClr val="000000"/>
            </a:solidFill>
            <ns0:ln xmlns:ns0="http://schemas.openxmlformats.org/drawingml/2006/main" w="19050">
              <ns0:solidFill>
                <ns0:srgbClr val="000000"/>
              </ns0:solidFill>
              <ns0:prstDash val="solid"/>
            </ns0:ln>
          </c:spPr>
          <c:marker>
            <c:symbol val="circle"/>
            <c:size val="4"/>
            <c:spPr>
              <ns1:solidFill xmlns:ns1="http://schemas.openxmlformats.org/drawingml/2006/main">
                <ns1:srgbClr val="000000"/>
              </ns1:solidFill>
            </c:spPr>
          </c:marker>
          <c:cat>
            <c:strRef>
              <c:f>'09_청주 미술관_연도별격차'!$A$7:$A$17</c:f>
              <c:strCache>
                <c:ptCount val="11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</c:strCache>
            </c:strRef>
          </c:cat>
          <c:val>
            <c:numRef>
              <c:f>'09_청주 미술관_연도별격차'!$C$7:$C$17</c:f>
              <c:numCache>
                <c:formatCode>#,##0.0</c:formatCode>
                <c:ptCount val="11"/>
                <c:pt idx="0">
                  <c:v>-1241.33333333335</c:v>
                </c:pt>
                <c:pt idx="1">
                  <c:v>-1662.33333333334</c:v>
                </c:pt>
                <c:pt idx="2">
                  <c:v>-1730.33333333333</c:v>
                </c:pt>
                <c:pt idx="3">
                  <c:v>-203.000000000009</c:v>
                </c:pt>
                <c:pt idx="4">
                  <c:v>0</c:v>
                </c:pt>
                <c:pt idx="6">
                  <c:v>27.333333333334</c:v>
                </c:pt>
                <c:pt idx="7">
                  <c:v>1630.33333333333</c:v>
                </c:pt>
                <c:pt idx="8">
                  <c:v>2165.33333333333</c:v>
                </c:pt>
                <c:pt idx="9">
                  <c:v>1740</c:v>
                </c:pt>
                <c:pt idx="10">
                  <c:v>1054.33333333333</c:v>
                </c:pt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개관연도 대비 연도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명</a:t>
                </a:r>
              </a:p>
            </c:rich>
          </c:tx>
          <c:overlay val="0"/>
        </c:title>
        <c:numFmt formatCode="#,##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Malgun Gothic"/>
              <a:ea typeface="Malgun Gothic"/>
              <a:cs typeface="Malgun Gothic"/>
            </a:defRPr>
          </a:pPr>
        </a:p>
      </c:txPr>
    </c:legend>
    <c:plotVisOnly val="1"/>
    <c:dispBlanksAs val="gap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Malgun Gothic"/>
                <a:ea typeface="Malgun Gothic"/>
                <a:cs typeface="Malgun Gothic"/>
              </a:rPr>
              <a:t>청년비율 격차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Malgun Gothic"/>
              <a:ea typeface="Malgun Gothic"/>
              <a:cs typeface="Malgun Gothic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청년 격차(%p)</c:v>
          </c:tx>
          <c:spPr>
            <a:solidFill xmlns:a="http://schemas.openxmlformats.org/drawingml/2006/main">
              <a:srgbClr val="000000"/>
            </a:solidFill>
            <ns0:ln xmlns:ns0="http://schemas.openxmlformats.org/drawingml/2006/main" w="19050">
              <ns0:solidFill>
                <ns0:srgbClr val="000000"/>
              </ns0:solidFill>
              <ns0:prstDash val="solid"/>
            </ns0:ln>
          </c:spPr>
          <c:marker>
            <c:symbol val="circle"/>
            <c:size val="4"/>
            <c:spPr>
              <ns1:solidFill xmlns:ns1="http://schemas.openxmlformats.org/drawingml/2006/main">
                <ns1:srgbClr val="000000"/>
              </ns1:solidFill>
            </c:spPr>
          </c:marker>
          <c:cat>
            <c:strRef>
              <c:f>'09_청주 미술관_연도별격차'!$A$7:$A$17</c:f>
              <c:strCache>
                <c:ptCount val="11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</c:strCache>
            </c:strRef>
          </c:cat>
          <c:val>
            <c:numRef>
              <c:f>'09_청주 미술관_연도별격차'!$D$7:$D$17</c:f>
              <c:numCache>
                <c:formatCode>0.000</c:formatCode>
                <c:ptCount val="11"/>
                <c:pt idx="0">
                  <c:v>0.935384891083599</c:v>
                </c:pt>
                <c:pt idx="1">
                  <c:v>-0.178984433299883</c:v>
                </c:pt>
                <c:pt idx="2">
                  <c:v>-0.0796504049628526</c:v>
                </c:pt>
                <c:pt idx="3">
                  <c:v>0.0448971480183818</c:v>
                </c:pt>
                <c:pt idx="4">
                  <c:v>0</c:v>
                </c:pt>
                <c:pt idx="6">
                  <c:v>-0.130014746325727</c:v>
                </c:pt>
                <c:pt idx="7">
                  <c:v>1.33105366636834</c:v>
                </c:pt>
                <c:pt idx="8">
                  <c:v>1.6616962795318</c:v>
                </c:pt>
                <c:pt idx="9">
                  <c:v>0.634066567758916</c:v>
                </c:pt>
                <c:pt idx="10">
                  <c:v>-0.0048929472029919</c:v>
                </c:pt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개관연도 대비 연도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%p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Malgun Gothic"/>
              <a:ea typeface="Malgun Gothic"/>
              <a:cs typeface="Malgun Gothic"/>
            </a:defRPr>
          </a:pPr>
        </a:p>
      </c:txPr>
    </c:legend>
    <c:plotVisOnly val="1"/>
    <c:dispBlanksAs val="gap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Malgun Gothic"/>
                <a:ea typeface="Malgun Gothic"/>
                <a:cs typeface="Malgun Gothic"/>
              </a:rPr>
              <a:t>순이동 격차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Malgun Gothic"/>
              <a:ea typeface="Malgun Gothic"/>
              <a:cs typeface="Malgun Gothic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순이동 격차(명)</c:v>
          </c:tx>
          <c:spPr>
            <a:solidFill xmlns:a="http://schemas.openxmlformats.org/drawingml/2006/main">
              <a:srgbClr val="000000"/>
            </a:solidFill>
            <ns0:ln xmlns:ns0="http://schemas.openxmlformats.org/drawingml/2006/main" w="19050">
              <ns0:solidFill>
                <ns0:srgbClr val="000000"/>
              </ns0:solidFill>
              <ns0:prstDash val="solid"/>
            </ns0:ln>
          </c:spPr>
          <c:marker>
            <c:symbol val="circle"/>
            <c:size val="4"/>
            <c:spPr>
              <ns1:solidFill xmlns:ns1="http://schemas.openxmlformats.org/drawingml/2006/main">
                <ns1:srgbClr val="000000"/>
              </ns1:solidFill>
            </c:spPr>
          </c:marker>
          <c:cat>
            <c:strRef>
              <c:f>'09_청주 미술관_연도별격차'!$A$7:$A$17</c:f>
              <c:strCache>
                <c:ptCount val="11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</c:strCache>
            </c:strRef>
          </c:cat>
          <c:val>
            <c:numRef>
              <c:f>'09_청주 미술관_연도별격차'!$E$7:$E$17</c:f>
              <c:numCache>
                <c:formatCode>#,##0.0</c:formatCode>
                <c:ptCount val="11"/>
                <c:pt idx="0">
                  <c:v>-623.999999999999</c:v>
                </c:pt>
                <c:pt idx="1">
                  <c:v>-612.333333333335</c:v>
                </c:pt>
                <c:pt idx="2">
                  <c:v>-261.666666666666</c:v>
                </c:pt>
                <c:pt idx="3">
                  <c:v>1276</c:v>
                </c:pt>
                <c:pt idx="4">
                  <c:v>0</c:v>
                </c:pt>
                <c:pt idx="6">
                  <c:v>-153.333333333334</c:v>
                </c:pt>
                <c:pt idx="7">
                  <c:v>1391</c:v>
                </c:pt>
                <c:pt idx="8">
                  <c:v>311.333333333332</c:v>
                </c:pt>
                <c:pt idx="9">
                  <c:v>-635.666666666667</c:v>
                </c:pt>
                <c:pt idx="10">
                  <c:v>-893.666666666666</c:v>
                </c:pt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개관연도 대비 연도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명</a:t>
                </a:r>
              </a:p>
            </c:rich>
          </c:tx>
          <c:overlay val="0"/>
        </c:title>
        <c:numFmt formatCode="#,##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Malgun Gothic"/>
              <a:ea typeface="Malgun Gothic"/>
              <a:cs typeface="Malgun Gothic"/>
            </a:defRPr>
          </a:pPr>
        </a:p>
      </c:txPr>
    </c:legend>
    <c:plotVisOnly val="1"/>
    <c:dispBlanksAs val="gap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Malgun Gothic"/>
                <a:ea typeface="Malgun Gothic"/>
                <a:cs typeface="Malgun Gothic"/>
              </a:rPr>
              <a:t>주민등록인구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Malgun Gothic"/>
              <a:ea typeface="Malgun Gothic"/>
              <a:cs typeface="Malgun Gothic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처치 인구(명)</c:v>
          </c:tx>
          <c:spPr>
            <a:solidFill xmlns:a="http://schemas.openxmlformats.org/drawingml/2006/main">
              <a:srgbClr val="000000"/>
            </a:solidFill>
            <ns0:ln xmlns:ns0="http://schemas.openxmlformats.org/drawingml/2006/main" w="19050">
              <ns0:solidFill>
                <ns0:srgbClr val="000000"/>
              </ns0:solidFill>
              <ns0:prstDash val="solid"/>
            </ns0:ln>
          </c:spPr>
          <c:marker>
            <c:symbol val="circle"/>
            <c:size val="4"/>
            <c:spPr>
              <ns1:solidFill xmlns:ns1="http://schemas.openxmlformats.org/drawingml/2006/main">
                <ns1:srgbClr val="000000"/>
              </ns1:solidFill>
            </c:spPr>
          </c:marker>
          <c:cat>
            <c:strRef>
              <c:f>'10_팔복예술공장_인구청년'!$A$7:$A$17</c:f>
              <c:strCache>
                <c:ptCount val="11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</c:strCache>
            </c:strRef>
          </c:cat>
          <c:val>
            <c:numRef>
              <c:f>'10_팔복예술공장_인구청년'!$C$7:$C$17</c:f>
              <c:numCache>
                <c:formatCode>#,##0.0</c:formatCode>
                <c:ptCount val="11"/>
                <c:pt idx="0">
                  <c:v>10810</c:v>
                </c:pt>
                <c:pt idx="1">
                  <c:v>10387</c:v>
                </c:pt>
                <c:pt idx="2">
                  <c:v>9927</c:v>
                </c:pt>
                <c:pt idx="3">
                  <c:v>9455</c:v>
                </c:pt>
                <c:pt idx="4">
                  <c:v>9060</c:v>
                </c:pt>
                <c:pt idx="6">
                  <c:v>8029</c:v>
                </c:pt>
                <c:pt idx="7">
                  <c:v>7691</c:v>
                </c:pt>
                <c:pt idx="8">
                  <c:v>7519</c:v>
                </c:pt>
                <c:pt idx="9">
                  <c:v>7682</c:v>
                </c:pt>
                <c:pt idx="10">
                  <c:v>7570</c:v>
                </c:pt>
              </c:numCache>
            </c:numRef>
          </c:val>
          <c:smooth val="0"/>
        </c:ser>
        <c:ser>
          <c:idx val="1"/>
          <c:order val="1"/>
          <c:tx>
            <c:v>비교 인구(명)</c:v>
          </c:tx>
          <c:spPr>
            <a:solidFill xmlns:a="http://schemas.openxmlformats.org/drawingml/2006/main">
              <a:srgbClr val="777777"/>
            </a:solidFill>
            <ns2:ln xmlns:ns2="http://schemas.openxmlformats.org/drawingml/2006/main" w="19050">
              <ns2:solidFill>
                <ns2:srgbClr val="777777"/>
              </ns2:solidFill>
              <ns2:prstDash val="dash"/>
            </ns2:ln>
          </c:spPr>
          <c:marker>
            <c:symbol val="circle"/>
            <c:size val="4"/>
            <c:spPr>
              <ns3:solidFill xmlns:ns3="http://schemas.openxmlformats.org/drawingml/2006/main">
                <ns3:srgbClr val="777777"/>
              </ns3:solidFill>
            </c:spPr>
          </c:marker>
          <c:cat>
            <c:strRef>
              <c:f>'10_팔복예술공장_인구청년'!$A$7:$A$17</c:f>
              <c:strCache>
                <c:ptCount val="11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</c:strCache>
            </c:strRef>
          </c:cat>
          <c:val>
            <c:numRef>
              <c:f>'10_팔복예술공장_인구청년'!$D$7:$D$17</c:f>
              <c:numCache>
                <c:formatCode>#,##0.0</c:formatCode>
                <c:ptCount val="11"/>
                <c:pt idx="0">
                  <c:v>24370.3333333333</c:v>
                </c:pt>
                <c:pt idx="1">
                  <c:v>24024.6666666667</c:v>
                </c:pt>
                <c:pt idx="2">
                  <c:v>23983.6666666667</c:v>
                </c:pt>
                <c:pt idx="3">
                  <c:v>23897.3333333333</c:v>
                </c:pt>
                <c:pt idx="4">
                  <c:v>23472.6666666667</c:v>
                </c:pt>
                <c:pt idx="6">
                  <c:v>23724.6666666667</c:v>
                </c:pt>
                <c:pt idx="7">
                  <c:v>23560.6666666667</c:v>
                </c:pt>
                <c:pt idx="8">
                  <c:v>23153.3333333333</c:v>
                </c:pt>
                <c:pt idx="9">
                  <c:v>22731</c:v>
                </c:pt>
                <c:pt idx="10">
                  <c:v>22263.3333333333</c:v>
                </c:pt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연도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명</a:t>
                </a:r>
              </a:p>
            </c:rich>
          </c:tx>
          <c:overlay val="0"/>
        </c:title>
        <c:numFmt formatCode="#,##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Malgun Gothic"/>
              <a:ea typeface="Malgun Gothic"/>
              <a:cs typeface="Malgun Gothic"/>
            </a:defRPr>
          </a:pPr>
        </a:p>
      </c:txPr>
    </c:legend>
    <c:plotVisOnly val="1"/>
    <c:dispBlanksAs val="gap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Malgun Gothic"/>
                <a:ea typeface="Malgun Gothic"/>
                <a:cs typeface="Malgun Gothic"/>
              </a:rPr>
              <a:t>청년비율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Malgun Gothic"/>
              <a:ea typeface="Malgun Gothic"/>
              <a:cs typeface="Malgun Gothic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처치 청년(%)</c:v>
          </c:tx>
          <c:spPr>
            <a:solidFill xmlns:a="http://schemas.openxmlformats.org/drawingml/2006/main">
              <a:srgbClr val="000000"/>
            </a:solidFill>
            <ns0:ln xmlns:ns0="http://schemas.openxmlformats.org/drawingml/2006/main" w="19050">
              <ns0:solidFill>
                <ns0:srgbClr val="000000"/>
              </ns0:solidFill>
              <ns0:prstDash val="solid"/>
            </ns0:ln>
          </c:spPr>
          <c:marker>
            <c:symbol val="circle"/>
            <c:size val="4"/>
            <c:spPr>
              <ns1:solidFill xmlns:ns1="http://schemas.openxmlformats.org/drawingml/2006/main">
                <ns1:srgbClr val="000000"/>
              </ns1:solidFill>
            </c:spPr>
          </c:marker>
          <c:cat>
            <c:strRef>
              <c:f>'10_팔복예술공장_인구청년'!$A$7:$A$17</c:f>
              <c:strCache>
                <c:ptCount val="11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</c:strCache>
            </c:strRef>
          </c:cat>
          <c:val>
            <c:numRef>
              <c:f>'10_팔복예술공장_인구청년'!$E$7:$E$17</c:f>
              <c:numCache>
                <c:formatCode>0.000</c:formatCode>
                <c:ptCount val="11"/>
                <c:pt idx="0">
                  <c:v>22.2664199814986</c:v>
                </c:pt>
                <c:pt idx="1">
                  <c:v>21.2092038124579</c:v>
                </c:pt>
                <c:pt idx="2">
                  <c:v>20.3485443739297</c:v>
                </c:pt>
                <c:pt idx="3">
                  <c:v>19.4923320994183</c:v>
                </c:pt>
                <c:pt idx="4">
                  <c:v>18.4988962472406</c:v>
                </c:pt>
                <c:pt idx="6">
                  <c:v>16.9261427325943</c:v>
                </c:pt>
                <c:pt idx="7">
                  <c:v>16.6558314913535</c:v>
                </c:pt>
                <c:pt idx="8">
                  <c:v>17.3560313871525</c:v>
                </c:pt>
                <c:pt idx="9">
                  <c:v>20.5805779744858</c:v>
                </c:pt>
                <c:pt idx="10">
                  <c:v>20.8586525759577</c:v>
                </c:pt>
              </c:numCache>
            </c:numRef>
          </c:val>
          <c:smooth val="0"/>
        </c:ser>
        <c:ser>
          <c:idx val="1"/>
          <c:order val="1"/>
          <c:tx>
            <c:v>비교 청년(%)</c:v>
          </c:tx>
          <c:spPr>
            <a:solidFill xmlns:a="http://schemas.openxmlformats.org/drawingml/2006/main">
              <a:srgbClr val="777777"/>
            </a:solidFill>
            <ns2:ln xmlns:ns2="http://schemas.openxmlformats.org/drawingml/2006/main" w="19050">
              <ns2:solidFill>
                <ns2:srgbClr val="777777"/>
              </ns2:solidFill>
              <ns2:prstDash val="dash"/>
            </ns2:ln>
          </c:spPr>
          <c:marker>
            <c:symbol val="circle"/>
            <c:size val="4"/>
            <c:spPr>
              <ns3:solidFill xmlns:ns3="http://schemas.openxmlformats.org/drawingml/2006/main">
                <ns3:srgbClr val="777777"/>
              </ns3:solidFill>
            </c:spPr>
          </c:marker>
          <c:cat>
            <c:strRef>
              <c:f>'10_팔복예술공장_인구청년'!$A$7:$A$17</c:f>
              <c:strCache>
                <c:ptCount val="11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</c:strCache>
            </c:strRef>
          </c:cat>
          <c:val>
            <c:numRef>
              <c:f>'10_팔복예술공장_인구청년'!$F$7:$F$17</c:f>
              <c:numCache>
                <c:formatCode>0.000</c:formatCode>
                <c:ptCount val="11"/>
                <c:pt idx="0">
                  <c:v>20.3915821274846</c:v>
                </c:pt>
                <c:pt idx="1">
                  <c:v>20.0764624170104</c:v>
                </c:pt>
                <c:pt idx="2">
                  <c:v>19.7300003536106</c:v>
                </c:pt>
                <c:pt idx="3">
                  <c:v>19.6166939441573</c:v>
                </c:pt>
                <c:pt idx="4">
                  <c:v>19.3048952778383</c:v>
                </c:pt>
                <c:pt idx="6">
                  <c:v>18.8064329904822</c:v>
                </c:pt>
                <c:pt idx="7">
                  <c:v>18.6483741926201</c:v>
                </c:pt>
                <c:pt idx="8">
                  <c:v>18.4279929099942</c:v>
                </c:pt>
                <c:pt idx="9">
                  <c:v>17.9332879964185</c:v>
                </c:pt>
                <c:pt idx="10">
                  <c:v>17.7591097764246</c:v>
                </c:pt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연도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%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Malgun Gothic"/>
              <a:ea typeface="Malgun Gothic"/>
              <a:cs typeface="Malgun Gothic"/>
            </a:defRPr>
          </a:pPr>
        </a:p>
      </c:txPr>
    </c:legend>
    <c:plotVisOnly val="1"/>
    <c:dispBlanksAs val="gap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Malgun Gothic"/>
                <a:ea typeface="Malgun Gothic"/>
                <a:cs typeface="Malgun Gothic"/>
              </a:rPr>
              <a:t>개관 전 인구 변화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Malgun Gothic"/>
              <a:ea typeface="Malgun Gothic"/>
              <a:cs typeface="Malgun Gothic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처치 인구지수</c:v>
          </c:tx>
          <c:spPr>
            <a:solidFill xmlns:a="http://schemas.openxmlformats.org/drawingml/2006/main">
              <a:srgbClr val="000000"/>
            </a:solidFill>
            <ns0:ln xmlns:ns0="http://schemas.openxmlformats.org/drawingml/2006/main" w="19050">
              <ns0:solidFill>
                <ns0:srgbClr val="000000"/>
              </ns0:solidFill>
              <ns0:prstDash val="solid"/>
            </ns0:ln>
          </c:spPr>
          <c:marker>
            <c:symbol val="circle"/>
            <c:size val="4"/>
            <c:spPr>
              <ns1:solidFill xmlns:ns1="http://schemas.openxmlformats.org/drawingml/2006/main">
                <ns1:srgbClr val="000000"/>
              </ns1:solidFill>
            </c:spPr>
          </c:marker>
          <c:cat>
            <c:strRef>
              <c:f>'10_팔복예술공장_인구청년'!$H$7:$H$11</c:f>
              <c:strCache>
                <c:ptCount val="5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</c:strCache>
            </c:strRef>
          </c:cat>
          <c:val>
            <c:numRef>
              <c:f>'10_팔복예술공장_인구청년'!$I$7:$I$11</c:f>
              <c:numCache>
                <c:formatCode>0.00</c:formatCode>
                <c:ptCount val="5"/>
                <c:pt idx="0">
                  <c:v>100</c:v>
                </c:pt>
                <c:pt idx="1">
                  <c:v>96.08695652173913</c:v>
                </c:pt>
                <c:pt idx="2">
                  <c:v>91.83163737280296</c:v>
                </c:pt>
                <c:pt idx="3">
                  <c:v>87.46530989824237</c:v>
                </c:pt>
                <c:pt idx="4">
                  <c:v>83.8112858464385</c:v>
                </c:pt>
              </c:numCache>
            </c:numRef>
          </c:val>
          <c:smooth val="0"/>
        </c:ser>
        <c:ser>
          <c:idx val="1"/>
          <c:order val="1"/>
          <c:tx>
            <c:v>비교 인구지수</c:v>
          </c:tx>
          <c:spPr>
            <a:solidFill xmlns:a="http://schemas.openxmlformats.org/drawingml/2006/main">
              <a:srgbClr val="777777"/>
            </a:solidFill>
            <ns2:ln xmlns:ns2="http://schemas.openxmlformats.org/drawingml/2006/main" w="19050">
              <ns2:solidFill>
                <ns2:srgbClr val="777777"/>
              </ns2:solidFill>
              <ns2:prstDash val="dash"/>
            </ns2:ln>
          </c:spPr>
          <c:marker>
            <c:symbol val="circle"/>
            <c:size val="4"/>
            <c:spPr>
              <ns3:solidFill xmlns:ns3="http://schemas.openxmlformats.org/drawingml/2006/main">
                <ns3:srgbClr val="777777"/>
              </ns3:solidFill>
            </c:spPr>
          </c:marker>
          <c:cat>
            <c:strRef>
              <c:f>'10_팔복예술공장_인구청년'!$H$7:$H$11</c:f>
              <c:strCache>
                <c:ptCount val="5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</c:strCache>
            </c:strRef>
          </c:cat>
          <c:val>
            <c:numRef>
              <c:f>'10_팔복예술공장_인구청년'!$J$7:$J$11</c:f>
              <c:numCache>
                <c:formatCode>0.00</c:formatCode>
                <c:ptCount val="5"/>
                <c:pt idx="0">
                  <c:v>100</c:v>
                </c:pt>
                <c:pt idx="1">
                  <c:v>98.58160878663978</c:v>
                </c:pt>
                <c:pt idx="2">
                  <c:v>98.41337144889306</c:v>
                </c:pt>
                <c:pt idx="3">
                  <c:v>98.05911559136108</c:v>
                </c:pt>
                <c:pt idx="4">
                  <c:v>96.31655975161084</c:v>
                </c:pt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연도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첫 사전연도=100</a:t>
                </a:r>
              </a:p>
            </c:rich>
          </c:tx>
          <c:overlay val="0"/>
        </c:title>
        <c:numFmt formatCode="#,##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Malgun Gothic"/>
              <a:ea typeface="Malgun Gothic"/>
              <a:cs typeface="Malgun Gothic"/>
            </a:defRPr>
          </a:pPr>
        </a:p>
      </c:txPr>
    </c:legend>
    <c:plotVisOnly val="1"/>
    <c:dispBlanksAs val="gap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Malgun Gothic"/>
                <a:ea typeface="Malgun Gothic"/>
                <a:cs typeface="Malgun Gothic"/>
              </a:rPr>
              <a:t>개관 전 청년비율 변화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Malgun Gothic"/>
              <a:ea typeface="Malgun Gothic"/>
              <a:cs typeface="Malgun Gothic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처치 청년변화</c:v>
          </c:tx>
          <c:spPr>
            <a:solidFill xmlns:a="http://schemas.openxmlformats.org/drawingml/2006/main">
              <a:srgbClr val="000000"/>
            </a:solidFill>
            <ns0:ln xmlns:ns0="http://schemas.openxmlformats.org/drawingml/2006/main" w="19050">
              <ns0:solidFill>
                <ns0:srgbClr val="000000"/>
              </ns0:solidFill>
              <ns0:prstDash val="solid"/>
            </ns0:ln>
          </c:spPr>
          <c:marker>
            <c:symbol val="circle"/>
            <c:size val="4"/>
            <c:spPr>
              <ns1:solidFill xmlns:ns1="http://schemas.openxmlformats.org/drawingml/2006/main">
                <ns1:srgbClr val="000000"/>
              </ns1:solidFill>
            </c:spPr>
          </c:marker>
          <c:cat>
            <c:strRef>
              <c:f>'10_팔복예술공장_인구청년'!$H$7:$H$11</c:f>
              <c:strCache>
                <c:ptCount val="5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</c:strCache>
            </c:strRef>
          </c:cat>
          <c:val>
            <c:numRef>
              <c:f>'10_팔복예술공장_인구청년'!$K$7:$K$11</c:f>
              <c:numCache>
                <c:formatCode>0.000</c:formatCode>
                <c:ptCount val="5"/>
                <c:pt idx="0">
                  <c:v>0</c:v>
                </c:pt>
                <c:pt idx="1">
                  <c:v>-1.0572161690407</c:v>
                </c:pt>
                <c:pt idx="2">
                  <c:v>-1.9178756075689023</c:v>
                </c:pt>
                <c:pt idx="3">
                  <c:v>-2.774087882080302</c:v>
                </c:pt>
                <c:pt idx="4">
                  <c:v>-3.767523734257999</c:v>
                </c:pt>
              </c:numCache>
            </c:numRef>
          </c:val>
          <c:smooth val="0"/>
        </c:ser>
        <c:ser>
          <c:idx val="1"/>
          <c:order val="1"/>
          <c:tx>
            <c:v>비교 청년변화</c:v>
          </c:tx>
          <c:spPr>
            <a:solidFill xmlns:a="http://schemas.openxmlformats.org/drawingml/2006/main">
              <a:srgbClr val="777777"/>
            </a:solidFill>
            <ns2:ln xmlns:ns2="http://schemas.openxmlformats.org/drawingml/2006/main" w="19050">
              <ns2:solidFill>
                <ns2:srgbClr val="777777"/>
              </ns2:solidFill>
              <ns2:prstDash val="dash"/>
            </ns2:ln>
          </c:spPr>
          <c:marker>
            <c:symbol val="circle"/>
            <c:size val="4"/>
            <c:spPr>
              <ns3:solidFill xmlns:ns3="http://schemas.openxmlformats.org/drawingml/2006/main">
                <ns3:srgbClr val="777777"/>
              </ns3:solidFill>
            </c:spPr>
          </c:marker>
          <c:cat>
            <c:strRef>
              <c:f>'10_팔복예술공장_인구청년'!$H$7:$H$11</c:f>
              <c:strCache>
                <c:ptCount val="5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</c:strCache>
            </c:strRef>
          </c:cat>
          <c:val>
            <c:numRef>
              <c:f>'10_팔복예술공장_인구청년'!$L$7:$L$11</c:f>
              <c:numCache>
                <c:formatCode>0.000</c:formatCode>
                <c:ptCount val="5"/>
                <c:pt idx="0">
                  <c:v>0</c:v>
                </c:pt>
                <c:pt idx="1">
                  <c:v>-0.3151197104741996</c:v>
                </c:pt>
                <c:pt idx="2">
                  <c:v>-0.6615817738740013</c:v>
                </c:pt>
                <c:pt idx="3">
                  <c:v>-0.7748881833272989</c:v>
                </c:pt>
                <c:pt idx="4">
                  <c:v>-1.086686849646302</c:v>
                </c:pt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연도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%p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Malgun Gothic"/>
              <a:ea typeface="Malgun Gothic"/>
              <a:cs typeface="Malgun Gothic"/>
            </a:defRPr>
          </a:pPr>
        </a:p>
      </c:txPr>
    </c:legend>
    <c:plotVisOnly val="1"/>
    <c:dispBlanksAs val="gap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Malgun Gothic"/>
                <a:ea typeface="Malgun Gothic"/>
                <a:cs typeface="Malgun Gothic"/>
              </a:rPr>
              <a:t>인구 격차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Malgun Gothic"/>
              <a:ea typeface="Malgun Gothic"/>
              <a:cs typeface="Malgun Gothic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인구 격차(명)</c:v>
          </c:tx>
          <c:spPr>
            <a:solidFill xmlns:a="http://schemas.openxmlformats.org/drawingml/2006/main">
              <a:srgbClr val="000000"/>
            </a:solidFill>
            <ns0:ln xmlns:ns0="http://schemas.openxmlformats.org/drawingml/2006/main" w="19050">
              <ns0:solidFill>
                <ns0:srgbClr val="000000"/>
              </ns0:solidFill>
              <ns0:prstDash val="solid"/>
            </ns0:ln>
          </c:spPr>
          <c:marker>
            <c:symbol val="circle"/>
            <c:size val="4"/>
            <c:spPr>
              <ns1:solidFill xmlns:ns1="http://schemas.openxmlformats.org/drawingml/2006/main">
                <ns1:srgbClr val="000000"/>
              </ns1:solidFill>
            </c:spPr>
          </c:marker>
          <c:cat>
            <c:strRef>
              <c:f>'11_팔복예술공장_연도별격차'!$A$7:$A$17</c:f>
              <c:strCache>
                <c:ptCount val="11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</c:strCache>
            </c:strRef>
          </c:cat>
          <c:val>
            <c:numRef>
              <c:f>'11_팔복예술공장_연도별격차'!$C$7:$C$17</c:f>
              <c:numCache>
                <c:formatCode>#,##0.0</c:formatCode>
                <c:ptCount val="11"/>
                <c:pt idx="0">
                  <c:v>852.333333333337</c:v>
                </c:pt>
                <c:pt idx="1">
                  <c:v>775.000000000028</c:v>
                </c:pt>
                <c:pt idx="2">
                  <c:v>356.000000000006</c:v>
                </c:pt>
                <c:pt idx="3">
                  <c:v>-29.6666666666555</c:v>
                </c:pt>
                <c:pt idx="4">
                  <c:v>0</c:v>
                </c:pt>
                <c:pt idx="6">
                  <c:v>-1283</c:v>
                </c:pt>
                <c:pt idx="7">
                  <c:v>-1457</c:v>
                </c:pt>
                <c:pt idx="8">
                  <c:v>-1221.66666666667</c:v>
                </c:pt>
                <c:pt idx="9">
                  <c:v>-636.333333333332</c:v>
                </c:pt>
                <c:pt idx="10">
                  <c:v>-280.666666666666</c:v>
                </c:pt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개관연도 대비 연도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명</a:t>
                </a:r>
              </a:p>
            </c:rich>
          </c:tx>
          <c:overlay val="0"/>
        </c:title>
        <c:numFmt formatCode="#,##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Malgun Gothic"/>
              <a:ea typeface="Malgun Gothic"/>
              <a:cs typeface="Malgun Gothic"/>
            </a:defRPr>
          </a:pPr>
        </a:p>
      </c:txPr>
    </c:legend>
    <c:plotVisOnly val="1"/>
    <c:dispBlanksAs val="gap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Malgun Gothic"/>
                <a:ea typeface="Malgun Gothic"/>
                <a:cs typeface="Malgun Gothic"/>
              </a:rPr>
              <a:t>청년비율 격차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Malgun Gothic"/>
              <a:ea typeface="Malgun Gothic"/>
              <a:cs typeface="Malgun Gothic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청년 격차(%p)</c:v>
          </c:tx>
          <c:spPr>
            <a:solidFill xmlns:a="http://schemas.openxmlformats.org/drawingml/2006/main">
              <a:srgbClr val="000000"/>
            </a:solidFill>
            <ns0:ln xmlns:ns0="http://schemas.openxmlformats.org/drawingml/2006/main" w="19050">
              <ns0:solidFill>
                <ns0:srgbClr val="000000"/>
              </ns0:solidFill>
              <ns0:prstDash val="solid"/>
            </ns0:ln>
          </c:spPr>
          <c:marker>
            <c:symbol val="circle"/>
            <c:size val="4"/>
            <c:spPr>
              <ns1:solidFill xmlns:ns1="http://schemas.openxmlformats.org/drawingml/2006/main">
                <ns1:srgbClr val="000000"/>
              </ns1:solidFill>
            </c:spPr>
          </c:marker>
          <c:cat>
            <c:strRef>
              <c:f>'11_팔복예술공장_연도별격차'!$A$7:$A$17</c:f>
              <c:strCache>
                <c:ptCount val="11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</c:strCache>
            </c:strRef>
          </c:cat>
          <c:val>
            <c:numRef>
              <c:f>'11_팔복예술공장_연도별격차'!$D$7:$D$17</c:f>
              <c:numCache>
                <c:formatCode>0.000</c:formatCode>
                <c:ptCount val="11"/>
                <c:pt idx="0">
                  <c:v>2.6808368846117</c:v>
                </c:pt>
                <c:pt idx="1">
                  <c:v>1.93874042604519</c:v>
                </c:pt>
                <c:pt idx="2">
                  <c:v>1.42454305091674</c:v>
                </c:pt>
                <c:pt idx="3">
                  <c:v>0.681637185858718</c:v>
                </c:pt>
                <c:pt idx="4">
                  <c:v>0</c:v>
                </c:pt>
                <c:pt idx="6">
                  <c:v>-1.07429122729021</c:v>
                </c:pt>
                <c:pt idx="7">
                  <c:v>-1.1865436706689</c:v>
                </c:pt>
                <c:pt idx="8">
                  <c:v>-0.265962492243943</c:v>
                </c:pt>
                <c:pt idx="9">
                  <c:v>3.45328900866505</c:v>
                </c:pt>
                <c:pt idx="10">
                  <c:v>3.90554183013078</c:v>
                </c:pt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개관연도 대비 연도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%p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Malgun Gothic"/>
              <a:ea typeface="Malgun Gothic"/>
              <a:cs typeface="Malgun Gothic"/>
            </a:defRPr>
          </a:pPr>
        </a:p>
      </c:txPr>
    </c:legend>
    <c:plotVisOnly val="1"/>
    <c:dispBlanksAs val="gap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Malgun Gothic"/>
                <a:ea typeface="Malgun Gothic"/>
                <a:cs typeface="Malgun Gothic"/>
              </a:rPr>
              <a:t>순이동 격차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Malgun Gothic"/>
              <a:ea typeface="Malgun Gothic"/>
              <a:cs typeface="Malgun Gothic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순이동 격차(명)</c:v>
          </c:tx>
          <c:spPr>
            <a:solidFill xmlns:a="http://schemas.openxmlformats.org/drawingml/2006/main">
              <a:srgbClr val="000000"/>
            </a:solidFill>
            <ns0:ln xmlns:ns0="http://schemas.openxmlformats.org/drawingml/2006/main" w="19050">
              <ns0:solidFill>
                <ns0:srgbClr val="000000"/>
              </ns0:solidFill>
              <ns0:prstDash val="solid"/>
            </ns0:ln>
          </c:spPr>
          <c:marker>
            <c:symbol val="circle"/>
            <c:size val="4"/>
            <c:spPr>
              <ns1:solidFill xmlns:ns1="http://schemas.openxmlformats.org/drawingml/2006/main">
                <ns1:srgbClr val="000000"/>
              </ns1:solidFill>
            </c:spPr>
          </c:marker>
          <c:cat>
            <c:strRef>
              <c:f>'11_팔복예술공장_연도별격차'!$A$7:$A$17</c:f>
              <c:strCache>
                <c:ptCount val="11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</c:strCache>
            </c:strRef>
          </c:cat>
          <c:val>
            <c:numRef>
              <c:f>'11_팔복예술공장_연도별격차'!$E$7:$E$17</c:f>
              <c:numCache>
                <c:formatCode>#,##0.0</c:formatCode>
                <c:ptCount val="11"/>
                <c:pt idx="0">
                  <c:v>-961.666666666668</c:v>
                </c:pt>
                <c:pt idx="1">
                  <c:v>-79.0000000000005</c:v>
                </c:pt>
                <c:pt idx="2">
                  <c:v>-418.666666666668</c:v>
                </c:pt>
                <c:pt idx="3">
                  <c:v>-393.333333333335</c:v>
                </c:pt>
                <c:pt idx="4">
                  <c:v>0</c:v>
                </c:pt>
                <c:pt idx="6">
                  <c:v>-282.666666666668</c:v>
                </c:pt>
                <c:pt idx="7">
                  <c:v>-251.333333333334</c:v>
                </c:pt>
                <c:pt idx="8">
                  <c:v>158.333333333332</c:v>
                </c:pt>
                <c:pt idx="9">
                  <c:v>452.999999999999</c:v>
                </c:pt>
                <c:pt idx="10">
                  <c:v>227.999999999999</c:v>
                </c:pt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개관연도 대비 연도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명</a:t>
                </a:r>
              </a:p>
            </c:rich>
          </c:tx>
          <c:overlay val="0"/>
        </c:title>
        <c:numFmt formatCode="#,##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Malgun Gothic"/>
              <a:ea typeface="Malgun Gothic"/>
              <a:cs typeface="Malgun Gothic"/>
            </a:defRPr>
          </a:pPr>
        </a:p>
      </c:txPr>
    </c:legend>
    <c:plotVisOnly val="1"/>
    <c:dispBlanksAs val="gap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Malgun Gothic"/>
                <a:ea typeface="Malgun Gothic"/>
                <a:cs typeface="Malgun Gothic"/>
              </a:rPr>
              <a:t>총사업체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Malgun Gothic"/>
              <a:ea typeface="Malgun Gothic"/>
              <a:cs typeface="Malgun Gothic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처치 총사업체(개)</c:v>
          </c:tx>
          <c:spPr>
            <a:solidFill xmlns:a="http://schemas.openxmlformats.org/drawingml/2006/main">
              <a:srgbClr val="000000"/>
            </a:solidFill>
            <ns0:ln xmlns:ns0="http://schemas.openxmlformats.org/drawingml/2006/main" w="19050">
              <ns0:solidFill>
                <ns0:srgbClr val="000000"/>
              </ns0:solidFill>
              <ns0:prstDash val="solid"/>
            </ns0:ln>
          </c:spPr>
          <c:marker>
            <c:symbol val="circle"/>
            <c:size val="4"/>
            <c:spPr>
              <ns1:solidFill xmlns:ns1="http://schemas.openxmlformats.org/drawingml/2006/main">
                <ns1:srgbClr val="000000"/>
              </ns1:solidFill>
            </c:spPr>
          </c:marker>
          <c:cat>
            <c:strRef>
              <c:f>'12_문화비축기지_사업체고용'!$A$7:$A$14</c:f>
              <c:strCache>
                <c:ptCount val="8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</c:strCache>
            </c:strRef>
          </c:cat>
          <c:val>
            <c:numRef>
              <c:f>'12_문화비축기지_사업체고용'!$C$7:$C$14</c:f>
              <c:numCache>
                <c:formatCode>#,##0.0</c:formatCode>
                <c:ptCount val="8"/>
                <c:pt idx="0">
                  <c:v>1660</c:v>
                </c:pt>
                <c:pt idx="1">
                  <c:v>1675</c:v>
                </c:pt>
                <c:pt idx="2">
                  <c:v>1760</c:v>
                </c:pt>
                <c:pt idx="3">
                  <c:v>1814</c:v>
                </c:pt>
                <c:pt idx="4">
                  <c:v>1782</c:v>
                </c:pt>
                <c:pt idx="6">
                  <c:v>1774</c:v>
                </c:pt>
                <c:pt idx="7">
                  <c:v>1757</c:v>
                </c:pt>
              </c:numCache>
            </c:numRef>
          </c:val>
          <c:smooth val="0"/>
        </c:ser>
        <c:ser>
          <c:idx val="1"/>
          <c:order val="1"/>
          <c:tx>
            <c:v>비교 총사업체(개)</c:v>
          </c:tx>
          <c:spPr>
            <a:solidFill xmlns:a="http://schemas.openxmlformats.org/drawingml/2006/main">
              <a:srgbClr val="777777"/>
            </a:solidFill>
            <ns2:ln xmlns:ns2="http://schemas.openxmlformats.org/drawingml/2006/main" w="19050">
              <ns2:solidFill>
                <ns2:srgbClr val="777777"/>
              </ns2:solidFill>
              <ns2:prstDash val="dash"/>
            </ns2:ln>
          </c:spPr>
          <c:marker>
            <c:symbol val="circle"/>
            <c:size val="4"/>
            <c:spPr>
              <ns3:solidFill xmlns:ns3="http://schemas.openxmlformats.org/drawingml/2006/main">
                <ns3:srgbClr val="777777"/>
              </ns3:solidFill>
            </c:spPr>
          </c:marker>
          <c:cat>
            <c:strRef>
              <c:f>'12_문화비축기지_사업체고용'!$A$7:$A$14</c:f>
              <c:strCache>
                <c:ptCount val="8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</c:strCache>
            </c:strRef>
          </c:cat>
          <c:val>
            <c:numRef>
              <c:f>'12_문화비축기지_사업체고용'!$D$7:$D$14</c:f>
              <c:numCache>
                <c:formatCode>#,##0.0</c:formatCode>
                <c:ptCount val="8"/>
                <c:pt idx="0">
                  <c:v>2508</c:v>
                </c:pt>
                <c:pt idx="1">
                  <c:v>2509.66666666667</c:v>
                </c:pt>
                <c:pt idx="2">
                  <c:v>2440.33333333333</c:v>
                </c:pt>
                <c:pt idx="3">
                  <c:v>2421.33333333333</c:v>
                </c:pt>
                <c:pt idx="4">
                  <c:v>1920.33333333333</c:v>
                </c:pt>
                <c:pt idx="6">
                  <c:v>1915.66666666667</c:v>
                </c:pt>
                <c:pt idx="7">
                  <c:v>1913</c:v>
                </c:pt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연도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개</a:t>
                </a:r>
              </a:p>
            </c:rich>
          </c:tx>
          <c:overlay val="0"/>
        </c:title>
        <c:numFmt formatCode="#,##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Malgun Gothic"/>
              <a:ea typeface="Malgun Gothic"/>
              <a:cs typeface="Malgun Gothic"/>
            </a:defRPr>
          </a:pPr>
        </a:p>
      </c:txPr>
    </c:legend>
    <c:plotVisOnly val="1"/>
    <c:dispBlanksAs val="gap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Malgun Gothic"/>
                <a:ea typeface="Malgun Gothic"/>
                <a:cs typeface="Malgun Gothic"/>
              </a:rPr>
              <a:t>숙박 및 음식점 사업체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Malgun Gothic"/>
              <a:ea typeface="Malgun Gothic"/>
              <a:cs typeface="Malgun Gothic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처치 숙박 음식점 사업체(개)</c:v>
          </c:tx>
          <c:spPr>
            <a:solidFill xmlns:a="http://schemas.openxmlformats.org/drawingml/2006/main">
              <a:srgbClr val="000000"/>
            </a:solidFill>
            <ns0:ln xmlns:ns0="http://schemas.openxmlformats.org/drawingml/2006/main" w="19050">
              <ns0:solidFill>
                <ns0:srgbClr val="000000"/>
              </ns0:solidFill>
              <ns0:prstDash val="solid"/>
            </ns0:ln>
          </c:spPr>
          <c:marker>
            <c:symbol val="circle"/>
            <c:size val="4"/>
            <c:spPr>
              <ns1:solidFill xmlns:ns1="http://schemas.openxmlformats.org/drawingml/2006/main">
                <ns1:srgbClr val="000000"/>
              </ns1:solidFill>
            </c:spPr>
          </c:marker>
          <c:cat>
            <c:strRef>
              <c:f>'12_문화비축기지_사업체고용'!$A$7:$A$14</c:f>
              <c:strCache>
                <c:ptCount val="8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</c:strCache>
            </c:strRef>
          </c:cat>
          <c:val>
            <c:numRef>
              <c:f>'12_문화비축기지_사업체고용'!$E$7:$E$14</c:f>
              <c:numCache>
                <c:formatCode>#,##0.0</c:formatCode>
                <c:ptCount val="8"/>
                <c:pt idx="0">
                  <c:v>207</c:v>
                </c:pt>
                <c:pt idx="1">
                  <c:v>202</c:v>
                </c:pt>
                <c:pt idx="2">
                  <c:v>210</c:v>
                </c:pt>
                <c:pt idx="3">
                  <c:v>225</c:v>
                </c:pt>
                <c:pt idx="4">
                  <c:v>236</c:v>
                </c:pt>
                <c:pt idx="6">
                  <c:v>242</c:v>
                </c:pt>
                <c:pt idx="7">
                  <c:v>259</c:v>
                </c:pt>
              </c:numCache>
            </c:numRef>
          </c:val>
          <c:smooth val="0"/>
        </c:ser>
        <c:ser>
          <c:idx val="1"/>
          <c:order val="1"/>
          <c:tx>
            <c:v>비교 숙박 음식점 사업체(개)</c:v>
          </c:tx>
          <c:spPr>
            <a:solidFill xmlns:a="http://schemas.openxmlformats.org/drawingml/2006/main">
              <a:srgbClr val="777777"/>
            </a:solidFill>
            <ns2:ln xmlns:ns2="http://schemas.openxmlformats.org/drawingml/2006/main" w="19050">
              <ns2:solidFill>
                <ns2:srgbClr val="777777"/>
              </ns2:solidFill>
              <ns2:prstDash val="dash"/>
            </ns2:ln>
          </c:spPr>
          <c:marker>
            <c:symbol val="circle"/>
            <c:size val="4"/>
            <c:spPr>
              <ns3:solidFill xmlns:ns3="http://schemas.openxmlformats.org/drawingml/2006/main">
                <ns3:srgbClr val="777777"/>
              </ns3:solidFill>
            </c:spPr>
          </c:marker>
          <c:cat>
            <c:strRef>
              <c:f>'12_문화비축기지_사업체고용'!$A$7:$A$14</c:f>
              <c:strCache>
                <c:ptCount val="8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</c:strCache>
            </c:strRef>
          </c:cat>
          <c:val>
            <c:numRef>
              <c:f>'12_문화비축기지_사업체고용'!$F$7:$F$14</c:f>
              <c:numCache>
                <c:formatCode>#,##0.0</c:formatCode>
                <c:ptCount val="8"/>
                <c:pt idx="0">
                  <c:v>302.666666666667</c:v>
                </c:pt>
                <c:pt idx="1">
                  <c:v>302.666666666667</c:v>
                </c:pt>
                <c:pt idx="2">
                  <c:v>288.666666666667</c:v>
                </c:pt>
                <c:pt idx="3">
                  <c:v>282.333333333333</c:v>
                </c:pt>
                <c:pt idx="4">
                  <c:v>288</c:v>
                </c:pt>
                <c:pt idx="6">
                  <c:v>294</c:v>
                </c:pt>
                <c:pt idx="7">
                  <c:v>295.333333333333</c:v>
                </c:pt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연도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개</a:t>
                </a:r>
              </a:p>
            </c:rich>
          </c:tx>
          <c:overlay val="0"/>
        </c:title>
        <c:numFmt formatCode="#,##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Malgun Gothic"/>
              <a:ea typeface="Malgun Gothic"/>
              <a:cs typeface="Malgun Gothic"/>
            </a:defRPr>
          </a:pPr>
        </a:p>
      </c:txPr>
    </c:legend>
    <c:plotVisOnly val="1"/>
    <c:dispBlanksAs val="gap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Malgun Gothic"/>
                <a:ea typeface="Malgun Gothic"/>
                <a:cs typeface="Malgun Gothic"/>
              </a:rPr>
              <a:t>전체 종사자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Malgun Gothic"/>
              <a:ea typeface="Malgun Gothic"/>
              <a:cs typeface="Malgun Gothic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처치 전체 종사자(명)</c:v>
          </c:tx>
          <c:spPr>
            <a:solidFill xmlns:a="http://schemas.openxmlformats.org/drawingml/2006/main">
              <a:srgbClr val="000000"/>
            </a:solidFill>
            <ns0:ln xmlns:ns0="http://schemas.openxmlformats.org/drawingml/2006/main" w="19050">
              <ns0:solidFill>
                <ns0:srgbClr val="000000"/>
              </ns0:solidFill>
              <ns0:prstDash val="solid"/>
            </ns0:ln>
          </c:spPr>
          <c:marker>
            <c:symbol val="circle"/>
            <c:size val="4"/>
            <c:spPr>
              <ns1:solidFill xmlns:ns1="http://schemas.openxmlformats.org/drawingml/2006/main">
                <ns1:srgbClr val="000000"/>
              </ns1:solidFill>
            </c:spPr>
          </c:marker>
          <c:cat>
            <c:strRef>
              <c:f>'12_문화비축기지_사업체고용'!$A$7:$A$14</c:f>
              <c:strCache>
                <c:ptCount val="8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</c:strCache>
            </c:strRef>
          </c:cat>
          <c:val>
            <c:numRef>
              <c:f>'12_문화비축기지_사업체고용'!$G$7:$G$14</c:f>
              <c:numCache>
                <c:formatCode>#,##0.0</c:formatCode>
                <c:ptCount val="8"/>
                <c:pt idx="0">
                  <c:v>8608</c:v>
                </c:pt>
                <c:pt idx="1">
                  <c:v>8434</c:v>
                </c:pt>
                <c:pt idx="2">
                  <c:v>9355</c:v>
                </c:pt>
                <c:pt idx="3">
                  <c:v>11362</c:v>
                </c:pt>
                <c:pt idx="4">
                  <c:v>11771</c:v>
                </c:pt>
                <c:pt idx="6">
                  <c:v>12341</c:v>
                </c:pt>
                <c:pt idx="7">
                  <c:v>11682</c:v>
                </c:pt>
              </c:numCache>
            </c:numRef>
          </c:val>
          <c:smooth val="0"/>
        </c:ser>
        <c:ser>
          <c:idx val="1"/>
          <c:order val="1"/>
          <c:tx>
            <c:v>비교 전체 종사자(명)</c:v>
          </c:tx>
          <c:spPr>
            <a:solidFill xmlns:a="http://schemas.openxmlformats.org/drawingml/2006/main">
              <a:srgbClr val="777777"/>
            </a:solidFill>
            <ns2:ln xmlns:ns2="http://schemas.openxmlformats.org/drawingml/2006/main" w="19050">
              <ns2:solidFill>
                <ns2:srgbClr val="777777"/>
              </ns2:solidFill>
              <ns2:prstDash val="dash"/>
            </ns2:ln>
          </c:spPr>
          <c:marker>
            <c:symbol val="circle"/>
            <c:size val="4"/>
            <c:spPr>
              <ns3:solidFill xmlns:ns3="http://schemas.openxmlformats.org/drawingml/2006/main">
                <ns3:srgbClr val="777777"/>
              </ns3:solidFill>
            </c:spPr>
          </c:marker>
          <c:cat>
            <c:strRef>
              <c:f>'12_문화비축기지_사업체고용'!$A$7:$A$14</c:f>
              <c:strCache>
                <c:ptCount val="8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</c:strCache>
            </c:strRef>
          </c:cat>
          <c:val>
            <c:numRef>
              <c:f>'12_문화비축기지_사업체고용'!$H$7:$H$14</c:f>
              <c:numCache>
                <c:formatCode>#,##0.0</c:formatCode>
                <c:ptCount val="8"/>
                <c:pt idx="0">
                  <c:v>9001</c:v>
                </c:pt>
                <c:pt idx="1">
                  <c:v>9055.66666666667</c:v>
                </c:pt>
                <c:pt idx="2">
                  <c:v>8824</c:v>
                </c:pt>
                <c:pt idx="3">
                  <c:v>9356.33333333333</c:v>
                </c:pt>
                <c:pt idx="4">
                  <c:v>8910</c:v>
                </c:pt>
                <c:pt idx="6">
                  <c:v>8980.66666666667</c:v>
                </c:pt>
                <c:pt idx="7">
                  <c:v>9089</c:v>
                </c:pt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연도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명</a:t>
                </a:r>
              </a:p>
            </c:rich>
          </c:tx>
          <c:overlay val="0"/>
        </c:title>
        <c:numFmt formatCode="#,##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Malgun Gothic"/>
              <a:ea typeface="Malgun Gothic"/>
              <a:cs typeface="Malgun Gothic"/>
            </a:defRPr>
          </a:pPr>
        </a:p>
      </c:txPr>
    </c:legend>
    <c:plotVisOnly val="1"/>
    <c:dispBlanksAs val="gap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Malgun Gothic"/>
                <a:ea typeface="Malgun Gothic"/>
                <a:cs typeface="Malgun Gothic"/>
              </a:rPr>
              <a:t>예술 스포츠 및 여가 종사자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Malgun Gothic"/>
              <a:ea typeface="Malgun Gothic"/>
              <a:cs typeface="Malgun Gothic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처치 R업종 종사자(명)</c:v>
          </c:tx>
          <c:spPr>
            <a:solidFill xmlns:a="http://schemas.openxmlformats.org/drawingml/2006/main">
              <a:srgbClr val="000000"/>
            </a:solidFill>
            <ns0:ln xmlns:ns0="http://schemas.openxmlformats.org/drawingml/2006/main" w="19050">
              <ns0:solidFill>
                <ns0:srgbClr val="000000"/>
              </ns0:solidFill>
              <ns0:prstDash val="solid"/>
            </ns0:ln>
          </c:spPr>
          <c:marker>
            <c:symbol val="circle"/>
            <c:size val="4"/>
            <c:spPr>
              <ns1:solidFill xmlns:ns1="http://schemas.openxmlformats.org/drawingml/2006/main">
                <ns1:srgbClr val="000000"/>
              </ns1:solidFill>
            </c:spPr>
          </c:marker>
          <c:cat>
            <c:strRef>
              <c:f>'12_문화비축기지_사업체고용'!$A$7:$A$14</c:f>
              <c:strCache>
                <c:ptCount val="8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</c:strCache>
            </c:strRef>
          </c:cat>
          <c:val>
            <c:numRef>
              <c:f>'12_문화비축기지_사업체고용'!$I$7:$I$14</c:f>
              <c:numCache>
                <c:formatCode>#,##0.0</c:formatCode>
                <c:ptCount val="8"/>
                <c:pt idx="0">
                  <c:v>402</c:v>
                </c:pt>
                <c:pt idx="1">
                  <c:v>402</c:v>
                </c:pt>
                <c:pt idx="2">
                  <c:v>408</c:v>
                </c:pt>
                <c:pt idx="3">
                  <c:v>484</c:v>
                </c:pt>
                <c:pt idx="4">
                  <c:v>521</c:v>
                </c:pt>
                <c:pt idx="6">
                  <c:v>412</c:v>
                </c:pt>
                <c:pt idx="7">
                  <c:v>481</c:v>
                </c:pt>
              </c:numCache>
            </c:numRef>
          </c:val>
          <c:smooth val="0"/>
        </c:ser>
        <c:ser>
          <c:idx val="1"/>
          <c:order val="1"/>
          <c:tx>
            <c:v>비교 R업종 종사자(명)</c:v>
          </c:tx>
          <c:spPr>
            <a:solidFill xmlns:a="http://schemas.openxmlformats.org/drawingml/2006/main">
              <a:srgbClr val="777777"/>
            </a:solidFill>
            <ns2:ln xmlns:ns2="http://schemas.openxmlformats.org/drawingml/2006/main" w="19050">
              <ns2:solidFill>
                <ns2:srgbClr val="777777"/>
              </ns2:solidFill>
              <ns2:prstDash val="dash"/>
            </ns2:ln>
          </c:spPr>
          <c:marker>
            <c:symbol val="circle"/>
            <c:size val="4"/>
            <c:spPr>
              <ns3:solidFill xmlns:ns3="http://schemas.openxmlformats.org/drawingml/2006/main">
                <ns3:srgbClr val="777777"/>
              </ns3:solidFill>
            </c:spPr>
          </c:marker>
          <c:cat>
            <c:strRef>
              <c:f>'12_문화비축기지_사업체고용'!$A$7:$A$14</c:f>
              <c:strCache>
                <c:ptCount val="8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</c:strCache>
            </c:strRef>
          </c:cat>
          <c:val>
            <c:numRef>
              <c:f>'12_문화비축기지_사업체고용'!$J$7:$J$14</c:f>
              <c:numCache>
                <c:formatCode>#,##0.0</c:formatCode>
                <c:ptCount val="8"/>
                <c:pt idx="0">
                  <c:v>192.666666666667</c:v>
                </c:pt>
                <c:pt idx="1">
                  <c:v>193.666666666667</c:v>
                </c:pt>
                <c:pt idx="2">
                  <c:v>186.333333333333</c:v>
                </c:pt>
                <c:pt idx="3">
                  <c:v>166.333333333333</c:v>
                </c:pt>
                <c:pt idx="4">
                  <c:v>174.666666666667</c:v>
                </c:pt>
                <c:pt idx="6">
                  <c:v>181</c:v>
                </c:pt>
                <c:pt idx="7">
                  <c:v>206.666666666667</c:v>
                </c:pt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연도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명</a:t>
                </a:r>
              </a:p>
            </c:rich>
          </c:tx>
          <c:overlay val="0"/>
        </c:title>
        <c:numFmt formatCode="#,##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Malgun Gothic"/>
              <a:ea typeface="Malgun Gothic"/>
              <a:cs typeface="Malgun Gothic"/>
            </a:defRPr>
          </a:pPr>
        </a:p>
      </c:txPr>
    </c:legend>
    <c:plotVisOnly val="1"/>
    <c:dispBlanksAs val="gap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Malgun Gothic"/>
                <a:ea typeface="Malgun Gothic"/>
                <a:cs typeface="Malgun Gothic"/>
              </a:rPr>
              <a:t>총사업체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Malgun Gothic"/>
              <a:ea typeface="Malgun Gothic"/>
              <a:cs typeface="Malgun Gothic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처치 총사업체(개)</c:v>
          </c:tx>
          <c:spPr>
            <a:solidFill xmlns:a="http://schemas.openxmlformats.org/drawingml/2006/main">
              <a:srgbClr val="000000"/>
            </a:solidFill>
            <ns0:ln xmlns:ns0="http://schemas.openxmlformats.org/drawingml/2006/main" w="19050">
              <ns0:solidFill>
                <ns0:srgbClr val="000000"/>
              </ns0:solidFill>
              <ns0:prstDash val="solid"/>
            </ns0:ln>
          </c:spPr>
          <c:marker>
            <c:symbol val="circle"/>
            <c:size val="4"/>
            <c:spPr>
              <ns1:solidFill xmlns:ns1="http://schemas.openxmlformats.org/drawingml/2006/main">
                <ns1:srgbClr val="000000"/>
              </ns1:solidFill>
            </c:spPr>
          </c:marker>
          <c:cat>
            <c:strRef>
              <c:f>'13_F1963_사업체고용'!$A$7:$A$14</c:f>
              <c:strCache>
                <c:ptCount val="8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</c:strCache>
            </c:strRef>
          </c:cat>
          <c:val>
            <c:numRef>
              <c:f>'13_F1963_사업체고용'!$C$7:$C$14</c:f>
              <c:numCache>
                <c:formatCode>#,##0.0</c:formatCode>
                <c:ptCount val="8"/>
                <c:pt idx="0">
                  <c:v>749</c:v>
                </c:pt>
                <c:pt idx="1">
                  <c:v>727</c:v>
                </c:pt>
                <c:pt idx="2">
                  <c:v>738</c:v>
                </c:pt>
                <c:pt idx="3">
                  <c:v>749</c:v>
                </c:pt>
                <c:pt idx="4">
                  <c:v>764</c:v>
                </c:pt>
                <c:pt idx="6">
                  <c:v>779</c:v>
                </c:pt>
                <c:pt idx="7">
                  <c:v>787</c:v>
                </c:pt>
              </c:numCache>
            </c:numRef>
          </c:val>
          <c:smooth val="0"/>
        </c:ser>
        <c:ser>
          <c:idx val="1"/>
          <c:order val="1"/>
          <c:tx>
            <c:v>비교 총사업체(개)</c:v>
          </c:tx>
          <c:spPr>
            <a:solidFill xmlns:a="http://schemas.openxmlformats.org/drawingml/2006/main">
              <a:srgbClr val="777777"/>
            </a:solidFill>
            <ns2:ln xmlns:ns2="http://schemas.openxmlformats.org/drawingml/2006/main" w="19050">
              <ns2:solidFill>
                <ns2:srgbClr val="777777"/>
              </ns2:solidFill>
              <ns2:prstDash val="dash"/>
            </ns2:ln>
          </c:spPr>
          <c:marker>
            <c:symbol val="circle"/>
            <c:size val="4"/>
            <c:spPr>
              <ns3:solidFill xmlns:ns3="http://schemas.openxmlformats.org/drawingml/2006/main">
                <ns3:srgbClr val="777777"/>
              </ns3:solidFill>
            </c:spPr>
          </c:marker>
          <c:cat>
            <c:strRef>
              <c:f>'13_F1963_사업체고용'!$A$7:$A$14</c:f>
              <c:strCache>
                <c:ptCount val="8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</c:strCache>
            </c:strRef>
          </c:cat>
          <c:val>
            <c:numRef>
              <c:f>'13_F1963_사업체고용'!$D$7:$D$14</c:f>
              <c:numCache>
                <c:formatCode>#,##0.0</c:formatCode>
                <c:ptCount val="8"/>
                <c:pt idx="0">
                  <c:v>1337</c:v>
                </c:pt>
                <c:pt idx="1">
                  <c:v>1319.66666666667</c:v>
                </c:pt>
                <c:pt idx="2">
                  <c:v>1295.66666666667</c:v>
                </c:pt>
                <c:pt idx="3">
                  <c:v>1335.33333333333</c:v>
                </c:pt>
                <c:pt idx="4">
                  <c:v>1355.33333333333</c:v>
                </c:pt>
                <c:pt idx="6">
                  <c:v>1371</c:v>
                </c:pt>
                <c:pt idx="7">
                  <c:v>1359</c:v>
                </c:pt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연도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개</a:t>
                </a:r>
              </a:p>
            </c:rich>
          </c:tx>
          <c:overlay val="0"/>
        </c:title>
        <c:numFmt formatCode="#,##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Malgun Gothic"/>
              <a:ea typeface="Malgun Gothic"/>
              <a:cs typeface="Malgun Gothic"/>
            </a:defRPr>
          </a:pPr>
        </a:p>
      </c:txPr>
    </c:legend>
    <c:plotVisOnly val="1"/>
    <c:dispBlanksAs val="gap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Malgun Gothic"/>
                <a:ea typeface="Malgun Gothic"/>
                <a:cs typeface="Malgun Gothic"/>
              </a:rPr>
              <a:t>숙박 및 음식점 사업체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Malgun Gothic"/>
              <a:ea typeface="Malgun Gothic"/>
              <a:cs typeface="Malgun Gothic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처치 숙박 음식점 사업체(개)</c:v>
          </c:tx>
          <c:spPr>
            <a:solidFill xmlns:a="http://schemas.openxmlformats.org/drawingml/2006/main">
              <a:srgbClr val="000000"/>
            </a:solidFill>
            <ns0:ln xmlns:ns0="http://schemas.openxmlformats.org/drawingml/2006/main" w="19050">
              <ns0:solidFill>
                <ns0:srgbClr val="000000"/>
              </ns0:solidFill>
              <ns0:prstDash val="solid"/>
            </ns0:ln>
          </c:spPr>
          <c:marker>
            <c:symbol val="circle"/>
            <c:size val="4"/>
            <c:spPr>
              <ns1:solidFill xmlns:ns1="http://schemas.openxmlformats.org/drawingml/2006/main">
                <ns1:srgbClr val="000000"/>
              </ns1:solidFill>
            </c:spPr>
          </c:marker>
          <c:cat>
            <c:strRef>
              <c:f>'13_F1963_사업체고용'!$A$7:$A$14</c:f>
              <c:strCache>
                <c:ptCount val="8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</c:strCache>
            </c:strRef>
          </c:cat>
          <c:val>
            <c:numRef>
              <c:f>'13_F1963_사업체고용'!$E$7:$E$14</c:f>
              <c:numCache>
                <c:formatCode>#,##0.0</c:formatCode>
                <c:ptCount val="8"/>
                <c:pt idx="0">
                  <c:v>98</c:v>
                </c:pt>
                <c:pt idx="1">
                  <c:v>95</c:v>
                </c:pt>
                <c:pt idx="2">
                  <c:v>96</c:v>
                </c:pt>
                <c:pt idx="3">
                  <c:v>98</c:v>
                </c:pt>
                <c:pt idx="4">
                  <c:v>104</c:v>
                </c:pt>
                <c:pt idx="6">
                  <c:v>112</c:v>
                </c:pt>
                <c:pt idx="7">
                  <c:v>116</c:v>
                </c:pt>
              </c:numCache>
            </c:numRef>
          </c:val>
          <c:smooth val="0"/>
        </c:ser>
        <c:ser>
          <c:idx val="1"/>
          <c:order val="1"/>
          <c:tx>
            <c:v>비교 숙박 음식점 사업체(개)</c:v>
          </c:tx>
          <c:spPr>
            <a:solidFill xmlns:a="http://schemas.openxmlformats.org/drawingml/2006/main">
              <a:srgbClr val="777777"/>
            </a:solidFill>
            <ns2:ln xmlns:ns2="http://schemas.openxmlformats.org/drawingml/2006/main" w="19050">
              <ns2:solidFill>
                <ns2:srgbClr val="777777"/>
              </ns2:solidFill>
              <ns2:prstDash val="dash"/>
            </ns2:ln>
          </c:spPr>
          <c:marker>
            <c:symbol val="circle"/>
            <c:size val="4"/>
            <c:spPr>
              <ns3:solidFill xmlns:ns3="http://schemas.openxmlformats.org/drawingml/2006/main">
                <ns3:srgbClr val="777777"/>
              </ns3:solidFill>
            </c:spPr>
          </c:marker>
          <c:cat>
            <c:strRef>
              <c:f>'13_F1963_사업체고용'!$A$7:$A$14</c:f>
              <c:strCache>
                <c:ptCount val="8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</c:strCache>
            </c:strRef>
          </c:cat>
          <c:val>
            <c:numRef>
              <c:f>'13_F1963_사업체고용'!$F$7:$F$14</c:f>
              <c:numCache>
                <c:formatCode>#,##0.0</c:formatCode>
                <c:ptCount val="8"/>
                <c:pt idx="0">
                  <c:v>185</c:v>
                </c:pt>
                <c:pt idx="1">
                  <c:v>184.666666666667</c:v>
                </c:pt>
                <c:pt idx="2">
                  <c:v>178.333333333333</c:v>
                </c:pt>
                <c:pt idx="3">
                  <c:v>175.666666666667</c:v>
                </c:pt>
                <c:pt idx="4">
                  <c:v>180</c:v>
                </c:pt>
                <c:pt idx="6">
                  <c:v>203.666666666667</c:v>
                </c:pt>
                <c:pt idx="7">
                  <c:v>218.666666666667</c:v>
                </c:pt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연도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개</a:t>
                </a:r>
              </a:p>
            </c:rich>
          </c:tx>
          <c:overlay val="0"/>
        </c:title>
        <c:numFmt formatCode="#,##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Malgun Gothic"/>
              <a:ea typeface="Malgun Gothic"/>
              <a:cs typeface="Malgun Gothic"/>
            </a:defRPr>
          </a:pPr>
        </a:p>
      </c:txPr>
    </c:legend>
    <c:plotVisOnly val="1"/>
    <c:dispBlanksAs val="gap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Malgun Gothic"/>
                <a:ea typeface="Malgun Gothic"/>
                <a:cs typeface="Malgun Gothic"/>
              </a:rPr>
              <a:t>전체 종사자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Malgun Gothic"/>
              <a:ea typeface="Malgun Gothic"/>
              <a:cs typeface="Malgun Gothic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처치 전체 종사자(명)</c:v>
          </c:tx>
          <c:spPr>
            <a:solidFill xmlns:a="http://schemas.openxmlformats.org/drawingml/2006/main">
              <a:srgbClr val="000000"/>
            </a:solidFill>
            <ns0:ln xmlns:ns0="http://schemas.openxmlformats.org/drawingml/2006/main" w="19050">
              <ns0:solidFill>
                <ns0:srgbClr val="000000"/>
              </ns0:solidFill>
              <ns0:prstDash val="solid"/>
            </ns0:ln>
          </c:spPr>
          <c:marker>
            <c:symbol val="circle"/>
            <c:size val="4"/>
            <c:spPr>
              <ns1:solidFill xmlns:ns1="http://schemas.openxmlformats.org/drawingml/2006/main">
                <ns1:srgbClr val="000000"/>
              </ns1:solidFill>
            </c:spPr>
          </c:marker>
          <c:cat>
            <c:strRef>
              <c:f>'13_F1963_사업체고용'!$A$7:$A$14</c:f>
              <c:strCache>
                <c:ptCount val="8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</c:strCache>
            </c:strRef>
          </c:cat>
          <c:val>
            <c:numRef>
              <c:f>'13_F1963_사업체고용'!$G$7:$G$14</c:f>
              <c:numCache>
                <c:formatCode>#,##0.0</c:formatCode>
                <c:ptCount val="8"/>
                <c:pt idx="0">
                  <c:v>2795</c:v>
                </c:pt>
                <c:pt idx="1">
                  <c:v>2736</c:v>
                </c:pt>
                <c:pt idx="2">
                  <c:v>2778</c:v>
                </c:pt>
                <c:pt idx="3">
                  <c:v>3491</c:v>
                </c:pt>
                <c:pt idx="4">
                  <c:v>3497</c:v>
                </c:pt>
                <c:pt idx="6">
                  <c:v>3587</c:v>
                </c:pt>
                <c:pt idx="7">
                  <c:v>3878</c:v>
                </c:pt>
              </c:numCache>
            </c:numRef>
          </c:val>
          <c:smooth val="0"/>
        </c:ser>
        <c:ser>
          <c:idx val="1"/>
          <c:order val="1"/>
          <c:tx>
            <c:v>비교 전체 종사자(명)</c:v>
          </c:tx>
          <c:spPr>
            <a:solidFill xmlns:a="http://schemas.openxmlformats.org/drawingml/2006/main">
              <a:srgbClr val="777777"/>
            </a:solidFill>
            <ns2:ln xmlns:ns2="http://schemas.openxmlformats.org/drawingml/2006/main" w="19050">
              <ns2:solidFill>
                <ns2:srgbClr val="777777"/>
              </ns2:solidFill>
              <ns2:prstDash val="dash"/>
            </ns2:ln>
          </c:spPr>
          <c:marker>
            <c:symbol val="circle"/>
            <c:size val="4"/>
            <c:spPr>
              <ns3:solidFill xmlns:ns3="http://schemas.openxmlformats.org/drawingml/2006/main">
                <ns3:srgbClr val="777777"/>
              </ns3:solidFill>
            </c:spPr>
          </c:marker>
          <c:cat>
            <c:strRef>
              <c:f>'13_F1963_사업체고용'!$A$7:$A$14</c:f>
              <c:strCache>
                <c:ptCount val="8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</c:strCache>
            </c:strRef>
          </c:cat>
          <c:val>
            <c:numRef>
              <c:f>'13_F1963_사업체고용'!$H$7:$H$14</c:f>
              <c:numCache>
                <c:formatCode>#,##0.0</c:formatCode>
                <c:ptCount val="8"/>
                <c:pt idx="0">
                  <c:v>5940</c:v>
                </c:pt>
                <c:pt idx="1">
                  <c:v>6053.33333333333</c:v>
                </c:pt>
                <c:pt idx="2">
                  <c:v>6361</c:v>
                </c:pt>
                <c:pt idx="3">
                  <c:v>6966.66666666667</c:v>
                </c:pt>
                <c:pt idx="4">
                  <c:v>6860</c:v>
                </c:pt>
                <c:pt idx="6">
                  <c:v>6957.66666666667</c:v>
                </c:pt>
                <c:pt idx="7">
                  <c:v>6919.33333333333</c:v>
                </c:pt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연도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명</a:t>
                </a:r>
              </a:p>
            </c:rich>
          </c:tx>
          <c:overlay val="0"/>
        </c:title>
        <c:numFmt formatCode="#,##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Malgun Gothic"/>
              <a:ea typeface="Malgun Gothic"/>
              <a:cs typeface="Malgun Gothic"/>
            </a:defRPr>
          </a:pPr>
        </a:p>
      </c:txPr>
    </c:legend>
    <c:plotVisOnly val="1"/>
    <c:dispBlanksAs val="gap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Malgun Gothic"/>
                <a:ea typeface="Malgun Gothic"/>
                <a:cs typeface="Malgun Gothic"/>
              </a:rPr>
              <a:t>예술 스포츠 및 여가 종사자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Malgun Gothic"/>
              <a:ea typeface="Malgun Gothic"/>
              <a:cs typeface="Malgun Gothic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처치 R업종 종사자(명)</c:v>
          </c:tx>
          <c:spPr>
            <a:solidFill xmlns:a="http://schemas.openxmlformats.org/drawingml/2006/main">
              <a:srgbClr val="000000"/>
            </a:solidFill>
            <ns0:ln xmlns:ns0="http://schemas.openxmlformats.org/drawingml/2006/main" w="19050">
              <ns0:solidFill>
                <ns0:srgbClr val="000000"/>
              </ns0:solidFill>
              <ns0:prstDash val="solid"/>
            </ns0:ln>
          </c:spPr>
          <c:marker>
            <c:symbol val="circle"/>
            <c:size val="4"/>
            <c:spPr>
              <ns1:solidFill xmlns:ns1="http://schemas.openxmlformats.org/drawingml/2006/main">
                <ns1:srgbClr val="000000"/>
              </ns1:solidFill>
            </c:spPr>
          </c:marker>
          <c:cat>
            <c:strRef>
              <c:f>'13_F1963_사업체고용'!$A$7:$A$14</c:f>
              <c:strCache>
                <c:ptCount val="8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</c:strCache>
            </c:strRef>
          </c:cat>
          <c:val>
            <c:numRef>
              <c:f>'13_F1963_사업체고용'!$I$7:$I$14</c:f>
              <c:numCache>
                <c:formatCode>#,##0.0</c:formatCode>
                <c:ptCount val="8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30</c:v>
                </c:pt>
                <c:pt idx="4">
                  <c:v>25</c:v>
                </c:pt>
                <c:pt idx="6">
                  <c:v>26</c:v>
                </c:pt>
                <c:pt idx="7">
                  <c:v>33</c:v>
                </c:pt>
              </c:numCache>
            </c:numRef>
          </c:val>
          <c:smooth val="0"/>
        </c:ser>
        <c:ser>
          <c:idx val="1"/>
          <c:order val="1"/>
          <c:tx>
            <c:v>비교 R업종 종사자(명)</c:v>
          </c:tx>
          <c:spPr>
            <a:solidFill xmlns:a="http://schemas.openxmlformats.org/drawingml/2006/main">
              <a:srgbClr val="777777"/>
            </a:solidFill>
            <ns2:ln xmlns:ns2="http://schemas.openxmlformats.org/drawingml/2006/main" w="19050">
              <ns2:solidFill>
                <ns2:srgbClr val="777777"/>
              </ns2:solidFill>
              <ns2:prstDash val="dash"/>
            </ns2:ln>
          </c:spPr>
          <c:marker>
            <c:symbol val="circle"/>
            <c:size val="4"/>
            <c:spPr>
              <ns3:solidFill xmlns:ns3="http://schemas.openxmlformats.org/drawingml/2006/main">
                <ns3:srgbClr val="777777"/>
              </ns3:solidFill>
            </c:spPr>
          </c:marker>
          <c:cat>
            <c:strRef>
              <c:f>'13_F1963_사업체고용'!$A$7:$A$14</c:f>
              <c:strCache>
                <c:ptCount val="8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</c:strCache>
            </c:strRef>
          </c:cat>
          <c:val>
            <c:numRef>
              <c:f>'13_F1963_사업체고용'!$J$7:$J$14</c:f>
              <c:numCache>
                <c:formatCode>#,##0.0</c:formatCode>
                <c:ptCount val="8"/>
                <c:pt idx="0">
                  <c:v>73.6666666666667</c:v>
                </c:pt>
                <c:pt idx="1">
                  <c:v>67.3333333333333</c:v>
                </c:pt>
                <c:pt idx="2">
                  <c:v>63</c:v>
                </c:pt>
                <c:pt idx="3">
                  <c:v>63.6666666666667</c:v>
                </c:pt>
                <c:pt idx="4">
                  <c:v>72.3333333333333</c:v>
                </c:pt>
                <c:pt idx="6">
                  <c:v>85.6666666666667</c:v>
                </c:pt>
                <c:pt idx="7">
                  <c:v>87.6666666666667</c:v>
                </c:pt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연도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명</a:t>
                </a:r>
              </a:p>
            </c:rich>
          </c:tx>
          <c:overlay val="0"/>
        </c:title>
        <c:numFmt formatCode="#,##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Malgun Gothic"/>
              <a:ea typeface="Malgun Gothic"/>
              <a:cs typeface="Malgun Gothic"/>
            </a:defRPr>
          </a:pPr>
        </a:p>
      </c:txPr>
    </c:legend>
    <c:plotVisOnly val="1"/>
    <c:dispBlanksAs val="gap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Malgun Gothic"/>
                <a:ea typeface="Malgun Gothic"/>
                <a:cs typeface="Malgun Gothic"/>
              </a:rPr>
              <a:t>총사업체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Malgun Gothic"/>
              <a:ea typeface="Malgun Gothic"/>
              <a:cs typeface="Malgun Gothic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처치 총사업체(개)</c:v>
          </c:tx>
          <c:spPr>
            <a:solidFill xmlns:a="http://schemas.openxmlformats.org/drawingml/2006/main">
              <a:srgbClr val="000000"/>
            </a:solidFill>
            <ns0:ln xmlns:ns0="http://schemas.openxmlformats.org/drawingml/2006/main" w="19050">
              <ns0:solidFill>
                <ns0:srgbClr val="000000"/>
              </ns0:solidFill>
              <ns0:prstDash val="solid"/>
            </ns0:ln>
          </c:spPr>
          <c:marker>
            <c:symbol val="circle"/>
            <c:size val="4"/>
            <c:spPr>
              <ns1:solidFill xmlns:ns1="http://schemas.openxmlformats.org/drawingml/2006/main">
                <ns1:srgbClr val="000000"/>
              </ns1:solidFill>
            </c:spPr>
          </c:marker>
          <c:cat>
            <c:strRef>
              <c:f>'14_고색뉴지엄_사업체고용'!$A$7:$A$14</c:f>
              <c:strCache>
                <c:ptCount val="8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</c:strCache>
            </c:strRef>
          </c:cat>
          <c:val>
            <c:numRef>
              <c:f>'14_고색뉴지엄_사업체고용'!$C$7:$C$14</c:f>
              <c:numCache>
                <c:formatCode>#,##0.0</c:formatCode>
                <c:ptCount val="8"/>
                <c:pt idx="0">
                  <c:v>3408</c:v>
                </c:pt>
                <c:pt idx="1">
                  <c:v>3435</c:v>
                </c:pt>
                <c:pt idx="2">
                  <c:v>3626</c:v>
                </c:pt>
                <c:pt idx="3">
                  <c:v>3678</c:v>
                </c:pt>
                <c:pt idx="4">
                  <c:v>3774</c:v>
                </c:pt>
                <c:pt idx="6">
                  <c:v>4267</c:v>
                </c:pt>
                <c:pt idx="7">
                  <c:v>3961</c:v>
                </c:pt>
              </c:numCache>
            </c:numRef>
          </c:val>
          <c:smooth val="0"/>
        </c:ser>
        <c:ser>
          <c:idx val="1"/>
          <c:order val="1"/>
          <c:tx>
            <c:v>비교 총사업체(개)</c:v>
          </c:tx>
          <c:spPr>
            <a:solidFill xmlns:a="http://schemas.openxmlformats.org/drawingml/2006/main">
              <a:srgbClr val="777777"/>
            </a:solidFill>
            <ns2:ln xmlns:ns2="http://schemas.openxmlformats.org/drawingml/2006/main" w="19050">
              <ns2:solidFill>
                <ns2:srgbClr val="777777"/>
              </ns2:solidFill>
              <ns2:prstDash val="dash"/>
            </ns2:ln>
          </c:spPr>
          <c:marker>
            <c:symbol val="circle"/>
            <c:size val="4"/>
            <c:spPr>
              <ns3:solidFill xmlns:ns3="http://schemas.openxmlformats.org/drawingml/2006/main">
                <ns3:srgbClr val="777777"/>
              </ns3:solidFill>
            </c:spPr>
          </c:marker>
          <c:cat>
            <c:strRef>
              <c:f>'14_고색뉴지엄_사업체고용'!$A$7:$A$14</c:f>
              <c:strCache>
                <c:ptCount val="8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</c:strCache>
            </c:strRef>
          </c:cat>
          <c:val>
            <c:numRef>
              <c:f>'14_고색뉴지엄_사업체고용'!$D$7:$D$14</c:f>
              <c:numCache>
                <c:formatCode>#,##0.0</c:formatCode>
                <c:ptCount val="8"/>
                <c:pt idx="0">
                  <c:v>1470.66666666667</c:v>
                </c:pt>
                <c:pt idx="1">
                  <c:v>1531.33333333333</c:v>
                </c:pt>
                <c:pt idx="2">
                  <c:v>1641.66666666667</c:v>
                </c:pt>
                <c:pt idx="3">
                  <c:v>1761.66666666667</c:v>
                </c:pt>
                <c:pt idx="4">
                  <c:v>1804.66666666667</c:v>
                </c:pt>
                <c:pt idx="6">
                  <c:v>1932</c:v>
                </c:pt>
                <c:pt idx="7">
                  <c:v>1999</c:v>
                </c:pt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연도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개</a:t>
                </a:r>
              </a:p>
            </c:rich>
          </c:tx>
          <c:overlay val="0"/>
        </c:title>
        <c:numFmt formatCode="#,##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Malgun Gothic"/>
              <a:ea typeface="Malgun Gothic"/>
              <a:cs typeface="Malgun Gothic"/>
            </a:defRPr>
          </a:pPr>
        </a:p>
      </c:txPr>
    </c:legend>
    <c:plotVisOnly val="1"/>
    <c:dispBlanksAs val="gap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Malgun Gothic"/>
                <a:ea typeface="Malgun Gothic"/>
                <a:cs typeface="Malgun Gothic"/>
              </a:rPr>
              <a:t>숙박 및 음식점 사업체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Malgun Gothic"/>
              <a:ea typeface="Malgun Gothic"/>
              <a:cs typeface="Malgun Gothic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처치 숙박 음식점 사업체(개)</c:v>
          </c:tx>
          <c:spPr>
            <a:solidFill xmlns:a="http://schemas.openxmlformats.org/drawingml/2006/main">
              <a:srgbClr val="000000"/>
            </a:solidFill>
            <ns0:ln xmlns:ns0="http://schemas.openxmlformats.org/drawingml/2006/main" w="19050">
              <ns0:solidFill>
                <ns0:srgbClr val="000000"/>
              </ns0:solidFill>
              <ns0:prstDash val="solid"/>
            </ns0:ln>
          </c:spPr>
          <c:marker>
            <c:symbol val="circle"/>
            <c:size val="4"/>
            <c:spPr>
              <ns1:solidFill xmlns:ns1="http://schemas.openxmlformats.org/drawingml/2006/main">
                <ns1:srgbClr val="000000"/>
              </ns1:solidFill>
            </c:spPr>
          </c:marker>
          <c:cat>
            <c:strRef>
              <c:f>'14_고색뉴지엄_사업체고용'!$A$7:$A$14</c:f>
              <c:strCache>
                <c:ptCount val="8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</c:strCache>
            </c:strRef>
          </c:cat>
          <c:val>
            <c:numRef>
              <c:f>'14_고색뉴지엄_사업체고용'!$E$7:$E$14</c:f>
              <c:numCache>
                <c:formatCode>#,##0.0</c:formatCode>
                <c:ptCount val="8"/>
                <c:pt idx="0">
                  <c:v>309</c:v>
                </c:pt>
                <c:pt idx="1">
                  <c:v>316</c:v>
                </c:pt>
                <c:pt idx="2">
                  <c:v>319</c:v>
                </c:pt>
                <c:pt idx="3">
                  <c:v>322</c:v>
                </c:pt>
                <c:pt idx="4">
                  <c:v>327</c:v>
                </c:pt>
                <c:pt idx="6">
                  <c:v>365</c:v>
                </c:pt>
                <c:pt idx="7">
                  <c:v>383</c:v>
                </c:pt>
              </c:numCache>
            </c:numRef>
          </c:val>
          <c:smooth val="0"/>
        </c:ser>
        <c:ser>
          <c:idx val="1"/>
          <c:order val="1"/>
          <c:tx>
            <c:v>비교 숙박 음식점 사업체(개)</c:v>
          </c:tx>
          <c:spPr>
            <a:solidFill xmlns:a="http://schemas.openxmlformats.org/drawingml/2006/main">
              <a:srgbClr val="777777"/>
            </a:solidFill>
            <ns2:ln xmlns:ns2="http://schemas.openxmlformats.org/drawingml/2006/main" w="19050">
              <ns2:solidFill>
                <ns2:srgbClr val="777777"/>
              </ns2:solidFill>
              <ns2:prstDash val="dash"/>
            </ns2:ln>
          </c:spPr>
          <c:marker>
            <c:symbol val="circle"/>
            <c:size val="4"/>
            <c:spPr>
              <ns3:solidFill xmlns:ns3="http://schemas.openxmlformats.org/drawingml/2006/main">
                <ns3:srgbClr val="777777"/>
              </ns3:solidFill>
            </c:spPr>
          </c:marker>
          <c:cat>
            <c:strRef>
              <c:f>'14_고색뉴지엄_사업체고용'!$A$7:$A$14</c:f>
              <c:strCache>
                <c:ptCount val="8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</c:strCache>
            </c:strRef>
          </c:cat>
          <c:val>
            <c:numRef>
              <c:f>'14_고색뉴지엄_사업체고용'!$F$7:$F$14</c:f>
              <c:numCache>
                <c:formatCode>#,##0.0</c:formatCode>
                <c:ptCount val="8"/>
                <c:pt idx="0">
                  <c:v>209</c:v>
                </c:pt>
                <c:pt idx="1">
                  <c:v>213</c:v>
                </c:pt>
                <c:pt idx="2">
                  <c:v>217</c:v>
                </c:pt>
                <c:pt idx="3">
                  <c:v>228.333333333333</c:v>
                </c:pt>
                <c:pt idx="4">
                  <c:v>230.666666666667</c:v>
                </c:pt>
                <c:pt idx="6">
                  <c:v>274.666666666667</c:v>
                </c:pt>
                <c:pt idx="7">
                  <c:v>282</c:v>
                </c:pt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연도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개</a:t>
                </a:r>
              </a:p>
            </c:rich>
          </c:tx>
          <c:overlay val="0"/>
        </c:title>
        <c:numFmt formatCode="#,##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Malgun Gothic"/>
              <a:ea typeface="Malgun Gothic"/>
              <a:cs typeface="Malgun Gothic"/>
            </a:defRPr>
          </a:pPr>
        </a:p>
      </c:txPr>
    </c:legend>
    <c:plotVisOnly val="1"/>
    <c:dispBlanksAs val="gap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Malgun Gothic"/>
                <a:ea typeface="Malgun Gothic"/>
                <a:cs typeface="Malgun Gothic"/>
              </a:rPr>
              <a:t>전체 종사자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Malgun Gothic"/>
              <a:ea typeface="Malgun Gothic"/>
              <a:cs typeface="Malgun Gothic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처치 전체 종사자(명)</c:v>
          </c:tx>
          <c:spPr>
            <a:solidFill xmlns:a="http://schemas.openxmlformats.org/drawingml/2006/main">
              <a:srgbClr val="000000"/>
            </a:solidFill>
            <ns0:ln xmlns:ns0="http://schemas.openxmlformats.org/drawingml/2006/main" w="19050">
              <ns0:solidFill>
                <ns0:srgbClr val="000000"/>
              </ns0:solidFill>
              <ns0:prstDash val="solid"/>
            </ns0:ln>
          </c:spPr>
          <c:marker>
            <c:symbol val="circle"/>
            <c:size val="4"/>
            <c:spPr>
              <ns1:solidFill xmlns:ns1="http://schemas.openxmlformats.org/drawingml/2006/main">
                <ns1:srgbClr val="000000"/>
              </ns1:solidFill>
            </c:spPr>
          </c:marker>
          <c:cat>
            <c:strRef>
              <c:f>'14_고색뉴지엄_사업체고용'!$A$7:$A$14</c:f>
              <c:strCache>
                <c:ptCount val="8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</c:strCache>
            </c:strRef>
          </c:cat>
          <c:val>
            <c:numRef>
              <c:f>'14_고색뉴지엄_사업체고용'!$G$7:$G$14</c:f>
              <c:numCache>
                <c:formatCode>#,##0.0</c:formatCode>
                <c:ptCount val="8"/>
                <c:pt idx="0">
                  <c:v>21033</c:v>
                </c:pt>
                <c:pt idx="1">
                  <c:v>20830</c:v>
                </c:pt>
                <c:pt idx="2">
                  <c:v>24429</c:v>
                </c:pt>
                <c:pt idx="3">
                  <c:v>24638</c:v>
                </c:pt>
                <c:pt idx="4">
                  <c:v>27853</c:v>
                </c:pt>
                <c:pt idx="6">
                  <c:v>33470</c:v>
                </c:pt>
                <c:pt idx="7">
                  <c:v>34167</c:v>
                </c:pt>
              </c:numCache>
            </c:numRef>
          </c:val>
          <c:smooth val="0"/>
        </c:ser>
        <c:ser>
          <c:idx val="1"/>
          <c:order val="1"/>
          <c:tx>
            <c:v>비교 전체 종사자(명)</c:v>
          </c:tx>
          <c:spPr>
            <a:solidFill xmlns:a="http://schemas.openxmlformats.org/drawingml/2006/main">
              <a:srgbClr val="777777"/>
            </a:solidFill>
            <ns2:ln xmlns:ns2="http://schemas.openxmlformats.org/drawingml/2006/main" w="19050">
              <ns2:solidFill>
                <ns2:srgbClr val="777777"/>
              </ns2:solidFill>
              <ns2:prstDash val="dash"/>
            </ns2:ln>
          </c:spPr>
          <c:marker>
            <c:symbol val="circle"/>
            <c:size val="4"/>
            <c:spPr>
              <ns3:solidFill xmlns:ns3="http://schemas.openxmlformats.org/drawingml/2006/main">
                <ns3:srgbClr val="777777"/>
              </ns3:solidFill>
            </c:spPr>
          </c:marker>
          <c:cat>
            <c:strRef>
              <c:f>'14_고색뉴지엄_사업체고용'!$A$7:$A$14</c:f>
              <c:strCache>
                <c:ptCount val="8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</c:strCache>
            </c:strRef>
          </c:cat>
          <c:val>
            <c:numRef>
              <c:f>'14_고색뉴지엄_사업체고용'!$H$7:$H$14</c:f>
              <c:numCache>
                <c:formatCode>#,##0.0</c:formatCode>
                <c:ptCount val="8"/>
                <c:pt idx="0">
                  <c:v>6599.66666666667</c:v>
                </c:pt>
                <c:pt idx="1">
                  <c:v>6704</c:v>
                </c:pt>
                <c:pt idx="2">
                  <c:v>7224.33333333333</c:v>
                </c:pt>
                <c:pt idx="3">
                  <c:v>7952.33333333333</c:v>
                </c:pt>
                <c:pt idx="4">
                  <c:v>8351</c:v>
                </c:pt>
                <c:pt idx="6">
                  <c:v>9041</c:v>
                </c:pt>
                <c:pt idx="7">
                  <c:v>9589</c:v>
                </c:pt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연도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명</a:t>
                </a:r>
              </a:p>
            </c:rich>
          </c:tx>
          <c:overlay val="0"/>
        </c:title>
        <c:numFmt formatCode="#,##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Malgun Gothic"/>
              <a:ea typeface="Malgun Gothic"/>
              <a:cs typeface="Malgun Gothic"/>
            </a:defRPr>
          </a:pPr>
        </a:p>
      </c:txPr>
    </c:legend>
    <c:plotVisOnly val="1"/>
    <c:dispBlanksAs val="gap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Malgun Gothic"/>
                <a:ea typeface="Malgun Gothic"/>
                <a:cs typeface="Malgun Gothic"/>
              </a:rPr>
              <a:t>예술 스포츠 및 여가 종사자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Malgun Gothic"/>
              <a:ea typeface="Malgun Gothic"/>
              <a:cs typeface="Malgun Gothic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처치 R업종 종사자(명)</c:v>
          </c:tx>
          <c:spPr>
            <a:solidFill xmlns:a="http://schemas.openxmlformats.org/drawingml/2006/main">
              <a:srgbClr val="000000"/>
            </a:solidFill>
            <ns0:ln xmlns:ns0="http://schemas.openxmlformats.org/drawingml/2006/main" w="19050">
              <ns0:solidFill>
                <ns0:srgbClr val="000000"/>
              </ns0:solidFill>
              <ns0:prstDash val="solid"/>
            </ns0:ln>
          </c:spPr>
          <c:marker>
            <c:symbol val="circle"/>
            <c:size val="4"/>
            <c:spPr>
              <ns1:solidFill xmlns:ns1="http://schemas.openxmlformats.org/drawingml/2006/main">
                <ns1:srgbClr val="000000"/>
              </ns1:solidFill>
            </c:spPr>
          </c:marker>
          <c:cat>
            <c:strRef>
              <c:f>'14_고색뉴지엄_사업체고용'!$A$7:$A$14</c:f>
              <c:strCache>
                <c:ptCount val="8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</c:strCache>
            </c:strRef>
          </c:cat>
          <c:val>
            <c:numRef>
              <c:f>'14_고색뉴지엄_사업체고용'!$I$7:$I$14</c:f>
              <c:numCache>
                <c:formatCode>#,##0.0</c:formatCode>
                <c:ptCount val="8"/>
                <c:pt idx="0">
                  <c:v>263</c:v>
                </c:pt>
                <c:pt idx="1">
                  <c:v>228</c:v>
                </c:pt>
                <c:pt idx="2">
                  <c:v>196</c:v>
                </c:pt>
                <c:pt idx="3">
                  <c:v>220</c:v>
                </c:pt>
                <c:pt idx="4">
                  <c:v>206</c:v>
                </c:pt>
                <c:pt idx="6">
                  <c:v>263</c:v>
                </c:pt>
                <c:pt idx="7">
                  <c:v>259</c:v>
                </c:pt>
              </c:numCache>
            </c:numRef>
          </c:val>
          <c:smooth val="0"/>
        </c:ser>
        <c:ser>
          <c:idx val="1"/>
          <c:order val="1"/>
          <c:tx>
            <c:v>비교 R업종 종사자(명)</c:v>
          </c:tx>
          <c:spPr>
            <a:solidFill xmlns:a="http://schemas.openxmlformats.org/drawingml/2006/main">
              <a:srgbClr val="777777"/>
            </a:solidFill>
            <ns2:ln xmlns:ns2="http://schemas.openxmlformats.org/drawingml/2006/main" w="19050">
              <ns2:solidFill>
                <ns2:srgbClr val="777777"/>
              </ns2:solidFill>
              <ns2:prstDash val="dash"/>
            </ns2:ln>
          </c:spPr>
          <c:marker>
            <c:symbol val="circle"/>
            <c:size val="4"/>
            <c:spPr>
              <ns3:solidFill xmlns:ns3="http://schemas.openxmlformats.org/drawingml/2006/main">
                <ns3:srgbClr val="777777"/>
              </ns3:solidFill>
            </c:spPr>
          </c:marker>
          <c:cat>
            <c:strRef>
              <c:f>'14_고색뉴지엄_사업체고용'!$A$7:$A$14</c:f>
              <c:strCache>
                <c:ptCount val="8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</c:strCache>
            </c:strRef>
          </c:cat>
          <c:val>
            <c:numRef>
              <c:f>'14_고색뉴지엄_사업체고용'!$J$7:$J$14</c:f>
              <c:numCache>
                <c:formatCode>#,##0.0</c:formatCode>
                <c:ptCount val="8"/>
                <c:pt idx="0">
                  <c:v>162.666666666667</c:v>
                </c:pt>
                <c:pt idx="1">
                  <c:v>154.333333333333</c:v>
                </c:pt>
                <c:pt idx="2">
                  <c:v>171.333333333333</c:v>
                </c:pt>
                <c:pt idx="3">
                  <c:v>182</c:v>
                </c:pt>
                <c:pt idx="4">
                  <c:v>166.333333333333</c:v>
                </c:pt>
                <c:pt idx="6">
                  <c:v>224.333333333333</c:v>
                </c:pt>
                <c:pt idx="7">
                  <c:v>222</c:v>
                </c:pt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연도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명</a:t>
                </a:r>
              </a:p>
            </c:rich>
          </c:tx>
          <c:overlay val="0"/>
        </c:title>
        <c:numFmt formatCode="#,##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Malgun Gothic"/>
              <a:ea typeface="Malgun Gothic"/>
              <a:cs typeface="Malgun Gothic"/>
            </a:defRPr>
          </a:pPr>
        </a:p>
      </c:txPr>
    </c:legend>
    <c:plotVisOnly val="1"/>
    <c:dispBlanksAs val="gap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Malgun Gothic"/>
                <a:ea typeface="Malgun Gothic"/>
                <a:cs typeface="Malgun Gothic"/>
              </a:rPr>
              <a:t>총사업체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Malgun Gothic"/>
              <a:ea typeface="Malgun Gothic"/>
              <a:cs typeface="Malgun Gothic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처치 총사업체(개)</c:v>
          </c:tx>
          <c:spPr>
            <a:solidFill xmlns:a="http://schemas.openxmlformats.org/drawingml/2006/main">
              <a:srgbClr val="000000"/>
            </a:solidFill>
            <ns0:ln xmlns:ns0="http://schemas.openxmlformats.org/drawingml/2006/main" w="19050">
              <ns0:solidFill>
                <ns0:srgbClr val="000000"/>
              </ns0:solidFill>
              <ns0:prstDash val="solid"/>
            </ns0:ln>
          </c:spPr>
          <c:marker>
            <c:symbol val="circle"/>
            <c:size val="4"/>
            <c:spPr>
              <ns1:solidFill xmlns:ns1="http://schemas.openxmlformats.org/drawingml/2006/main">
                <ns1:srgbClr val="000000"/>
              </ns1:solidFill>
            </c:spPr>
          </c:marker>
          <c:cat>
            <c:strRef>
              <c:f>'15_청주 미술관_사업체고용'!$A$7:$A$13</c:f>
              <c:strCache>
                <c:ptCount val="7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</c:strCache>
            </c:strRef>
          </c:cat>
          <c:val>
            <c:numRef>
              <c:f>'15_청주 미술관_사업체고용'!$C$7:$C$13</c:f>
              <c:numCache>
                <c:formatCode>#,##0.0</c:formatCode>
                <c:ptCount val="7"/>
                <c:pt idx="0">
                  <c:v>881</c:v>
                </c:pt>
                <c:pt idx="1">
                  <c:v>863</c:v>
                </c:pt>
                <c:pt idx="2">
                  <c:v>806</c:v>
                </c:pt>
                <c:pt idx="3">
                  <c:v>821</c:v>
                </c:pt>
                <c:pt idx="4">
                  <c:v>779</c:v>
                </c:pt>
                <c:pt idx="6">
                  <c:v>853</c:v>
                </c:pt>
              </c:numCache>
            </c:numRef>
          </c:val>
          <c:smooth val="0"/>
        </c:ser>
        <c:ser>
          <c:idx val="1"/>
          <c:order val="1"/>
          <c:tx>
            <c:v>비교 총사업체(개)</c:v>
          </c:tx>
          <c:spPr>
            <a:solidFill xmlns:a="http://schemas.openxmlformats.org/drawingml/2006/main">
              <a:srgbClr val="777777"/>
            </a:solidFill>
            <ns2:ln xmlns:ns2="http://schemas.openxmlformats.org/drawingml/2006/main" w="19050">
              <ns2:solidFill>
                <ns2:srgbClr val="777777"/>
              </ns2:solidFill>
              <ns2:prstDash val="dash"/>
            </ns2:ln>
          </c:spPr>
          <c:marker>
            <c:symbol val="circle"/>
            <c:size val="4"/>
            <c:spPr>
              <ns3:solidFill xmlns:ns3="http://schemas.openxmlformats.org/drawingml/2006/main">
                <ns3:srgbClr val="777777"/>
              </ns3:solidFill>
            </c:spPr>
          </c:marker>
          <c:cat>
            <c:strRef>
              <c:f>'15_청주 미술관_사업체고용'!$A$7:$A$13</c:f>
              <c:strCache>
                <c:ptCount val="7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</c:strCache>
            </c:strRef>
          </c:cat>
          <c:val>
            <c:numRef>
              <c:f>'15_청주 미술관_사업체고용'!$D$7:$D$13</c:f>
              <c:numCache>
                <c:formatCode>#,##0.0</c:formatCode>
                <c:ptCount val="7"/>
                <c:pt idx="0">
                  <c:v>854.666666666667</c:v>
                </c:pt>
                <c:pt idx="1">
                  <c:v>854</c:v>
                </c:pt>
                <c:pt idx="2">
                  <c:v>871.666666666667</c:v>
                </c:pt>
                <c:pt idx="3">
                  <c:v>856</c:v>
                </c:pt>
                <c:pt idx="4">
                  <c:v>831.333333333333</c:v>
                </c:pt>
                <c:pt idx="6">
                  <c:v>864</c:v>
                </c:pt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연도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개</a:t>
                </a:r>
              </a:p>
            </c:rich>
          </c:tx>
          <c:overlay val="0"/>
        </c:title>
        <c:numFmt formatCode="#,##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Malgun Gothic"/>
              <a:ea typeface="Malgun Gothic"/>
              <a:cs typeface="Malgun Gothic"/>
            </a:defRPr>
          </a:pPr>
        </a:p>
      </c:txPr>
    </c:legend>
    <c:plotVisOnly val="1"/>
    <c:dispBlanksAs val="gap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Malgun Gothic"/>
                <a:ea typeface="Malgun Gothic"/>
                <a:cs typeface="Malgun Gothic"/>
              </a:rPr>
              <a:t>숙박 및 음식점 사업체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Malgun Gothic"/>
              <a:ea typeface="Malgun Gothic"/>
              <a:cs typeface="Malgun Gothic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처치 숙박 음식점 사업체(개)</c:v>
          </c:tx>
          <c:spPr>
            <a:solidFill xmlns:a="http://schemas.openxmlformats.org/drawingml/2006/main">
              <a:srgbClr val="000000"/>
            </a:solidFill>
            <ns0:ln xmlns:ns0="http://schemas.openxmlformats.org/drawingml/2006/main" w="19050">
              <ns0:solidFill>
                <ns0:srgbClr val="000000"/>
              </ns0:solidFill>
              <ns0:prstDash val="solid"/>
            </ns0:ln>
          </c:spPr>
          <c:marker>
            <c:symbol val="circle"/>
            <c:size val="4"/>
            <c:spPr>
              <ns1:solidFill xmlns:ns1="http://schemas.openxmlformats.org/drawingml/2006/main">
                <ns1:srgbClr val="000000"/>
              </ns1:solidFill>
            </c:spPr>
          </c:marker>
          <c:cat>
            <c:strRef>
              <c:f>'15_청주 미술관_사업체고용'!$A$7:$A$13</c:f>
              <c:strCache>
                <c:ptCount val="7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</c:strCache>
            </c:strRef>
          </c:cat>
          <c:val>
            <c:numRef>
              <c:f>'15_청주 미술관_사업체고용'!$E$7:$E$13</c:f>
              <c:numCache>
                <c:formatCode>#,##0.0</c:formatCode>
                <c:ptCount val="7"/>
                <c:pt idx="0">
                  <c:v>181</c:v>
                </c:pt>
                <c:pt idx="1">
                  <c:v>179</c:v>
                </c:pt>
                <c:pt idx="2">
                  <c:v>155</c:v>
                </c:pt>
                <c:pt idx="3">
                  <c:v>159</c:v>
                </c:pt>
                <c:pt idx="4">
                  <c:v>156</c:v>
                </c:pt>
                <c:pt idx="6">
                  <c:v>159</c:v>
                </c:pt>
              </c:numCache>
            </c:numRef>
          </c:val>
          <c:smooth val="0"/>
        </c:ser>
        <c:ser>
          <c:idx val="1"/>
          <c:order val="1"/>
          <c:tx>
            <c:v>비교 숙박 음식점 사업체(개)</c:v>
          </c:tx>
          <c:spPr>
            <a:solidFill xmlns:a="http://schemas.openxmlformats.org/drawingml/2006/main">
              <a:srgbClr val="777777"/>
            </a:solidFill>
            <ns2:ln xmlns:ns2="http://schemas.openxmlformats.org/drawingml/2006/main" w="19050">
              <ns2:solidFill>
                <ns2:srgbClr val="777777"/>
              </ns2:solidFill>
              <ns2:prstDash val="dash"/>
            </ns2:ln>
          </c:spPr>
          <c:marker>
            <c:symbol val="circle"/>
            <c:size val="4"/>
            <c:spPr>
              <ns3:solidFill xmlns:ns3="http://schemas.openxmlformats.org/drawingml/2006/main">
                <ns3:srgbClr val="777777"/>
              </ns3:solidFill>
            </c:spPr>
          </c:marker>
          <c:cat>
            <c:strRef>
              <c:f>'15_청주 미술관_사업체고용'!$A$7:$A$13</c:f>
              <c:strCache>
                <c:ptCount val="7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</c:strCache>
            </c:strRef>
          </c:cat>
          <c:val>
            <c:numRef>
              <c:f>'15_청주 미술관_사업체고용'!$F$7:$F$13</c:f>
              <c:numCache>
                <c:formatCode>#,##0.0</c:formatCode>
                <c:ptCount val="7"/>
                <c:pt idx="0">
                  <c:v>177.333333333333</c:v>
                </c:pt>
                <c:pt idx="1">
                  <c:v>173.666666666667</c:v>
                </c:pt>
                <c:pt idx="2">
                  <c:v>176</c:v>
                </c:pt>
                <c:pt idx="3">
                  <c:v>170.666666666667</c:v>
                </c:pt>
                <c:pt idx="4">
                  <c:v>172</c:v>
                </c:pt>
                <c:pt idx="6">
                  <c:v>185.333333333333</c:v>
                </c:pt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연도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개</a:t>
                </a:r>
              </a:p>
            </c:rich>
          </c:tx>
          <c:overlay val="0"/>
        </c:title>
        <c:numFmt formatCode="#,##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Malgun Gothic"/>
              <a:ea typeface="Malgun Gothic"/>
              <a:cs typeface="Malgun Gothic"/>
            </a:defRPr>
          </a:pPr>
        </a:p>
      </c:txPr>
    </c:legend>
    <c:plotVisOnly val="1"/>
    <c:dispBlanksAs val="gap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Malgun Gothic"/>
                <a:ea typeface="Malgun Gothic"/>
                <a:cs typeface="Malgun Gothic"/>
              </a:rPr>
              <a:t>전체 종사자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Malgun Gothic"/>
              <a:ea typeface="Malgun Gothic"/>
              <a:cs typeface="Malgun Gothic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처치 전체 종사자(명)</c:v>
          </c:tx>
          <c:spPr>
            <a:solidFill xmlns:a="http://schemas.openxmlformats.org/drawingml/2006/main">
              <a:srgbClr val="000000"/>
            </a:solidFill>
            <ns0:ln xmlns:ns0="http://schemas.openxmlformats.org/drawingml/2006/main" w="19050">
              <ns0:solidFill>
                <ns0:srgbClr val="000000"/>
              </ns0:solidFill>
              <ns0:prstDash val="solid"/>
            </ns0:ln>
          </c:spPr>
          <c:marker>
            <c:symbol val="circle"/>
            <c:size val="4"/>
            <c:spPr>
              <ns1:solidFill xmlns:ns1="http://schemas.openxmlformats.org/drawingml/2006/main">
                <ns1:srgbClr val="000000"/>
              </ns1:solidFill>
            </c:spPr>
          </c:marker>
          <c:cat>
            <c:strRef>
              <c:f>'15_청주 미술관_사업체고용'!$A$7:$A$13</c:f>
              <c:strCache>
                <c:ptCount val="7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</c:strCache>
            </c:strRef>
          </c:cat>
          <c:val>
            <c:numRef>
              <c:f>'15_청주 미술관_사업체고용'!$G$7:$G$13</c:f>
              <c:numCache>
                <c:formatCode>#,##0.0</c:formatCode>
                <c:ptCount val="7"/>
                <c:pt idx="0">
                  <c:v>3329</c:v>
                </c:pt>
                <c:pt idx="1">
                  <c:v>3123</c:v>
                </c:pt>
                <c:pt idx="2">
                  <c:v>2445</c:v>
                </c:pt>
                <c:pt idx="3">
                  <c:v>2352</c:v>
                </c:pt>
                <c:pt idx="4">
                  <c:v>3257</c:v>
                </c:pt>
                <c:pt idx="6">
                  <c:v>3652</c:v>
                </c:pt>
              </c:numCache>
            </c:numRef>
          </c:val>
          <c:smooth val="0"/>
        </c:ser>
        <c:ser>
          <c:idx val="1"/>
          <c:order val="1"/>
          <c:tx>
            <c:v>비교 전체 종사자(명)</c:v>
          </c:tx>
          <c:spPr>
            <a:solidFill xmlns:a="http://schemas.openxmlformats.org/drawingml/2006/main">
              <a:srgbClr val="777777"/>
            </a:solidFill>
            <ns2:ln xmlns:ns2="http://schemas.openxmlformats.org/drawingml/2006/main" w="19050">
              <ns2:solidFill>
                <ns2:srgbClr val="777777"/>
              </ns2:solidFill>
              <ns2:prstDash val="dash"/>
            </ns2:ln>
          </c:spPr>
          <c:marker>
            <c:symbol val="circle"/>
            <c:size val="4"/>
            <c:spPr>
              <ns3:solidFill xmlns:ns3="http://schemas.openxmlformats.org/drawingml/2006/main">
                <ns3:srgbClr val="777777"/>
              </ns3:solidFill>
            </c:spPr>
          </c:marker>
          <c:cat>
            <c:strRef>
              <c:f>'15_청주 미술관_사업체고용'!$A$7:$A$13</c:f>
              <c:strCache>
                <c:ptCount val="7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</c:strCache>
            </c:strRef>
          </c:cat>
          <c:val>
            <c:numRef>
              <c:f>'15_청주 미술관_사업체고용'!$H$7:$H$13</c:f>
              <c:numCache>
                <c:formatCode>#,##0.0</c:formatCode>
                <c:ptCount val="7"/>
                <c:pt idx="0">
                  <c:v>3103</c:v>
                </c:pt>
                <c:pt idx="1">
                  <c:v>3047</c:v>
                </c:pt>
                <c:pt idx="2">
                  <c:v>3214</c:v>
                </c:pt>
                <c:pt idx="3">
                  <c:v>3140</c:v>
                </c:pt>
                <c:pt idx="4">
                  <c:v>3187</c:v>
                </c:pt>
                <c:pt idx="6">
                  <c:v>3290.33333333333</c:v>
                </c:pt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연도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명</a:t>
                </a:r>
              </a:p>
            </c:rich>
          </c:tx>
          <c:overlay val="0"/>
        </c:title>
        <c:numFmt formatCode="#,##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Malgun Gothic"/>
              <a:ea typeface="Malgun Gothic"/>
              <a:cs typeface="Malgun Gothic"/>
            </a:defRPr>
          </a:pPr>
        </a:p>
      </c:txPr>
    </c:legend>
    <c:plotVisOnly val="1"/>
    <c:dispBlanksAs val="gap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Malgun Gothic"/>
                <a:ea typeface="Malgun Gothic"/>
                <a:cs typeface="Malgun Gothic"/>
              </a:rPr>
              <a:t>예술 스포츠 및 여가 종사자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Malgun Gothic"/>
              <a:ea typeface="Malgun Gothic"/>
              <a:cs typeface="Malgun Gothic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처치 R업종 종사자(명)</c:v>
          </c:tx>
          <c:spPr>
            <a:solidFill xmlns:a="http://schemas.openxmlformats.org/drawingml/2006/main">
              <a:srgbClr val="000000"/>
            </a:solidFill>
            <ns0:ln xmlns:ns0="http://schemas.openxmlformats.org/drawingml/2006/main" w="19050">
              <ns0:solidFill>
                <ns0:srgbClr val="000000"/>
              </ns0:solidFill>
              <ns0:prstDash val="solid"/>
            </ns0:ln>
          </c:spPr>
          <c:marker>
            <c:symbol val="circle"/>
            <c:size val="4"/>
            <c:spPr>
              <ns1:solidFill xmlns:ns1="http://schemas.openxmlformats.org/drawingml/2006/main">
                <ns1:srgbClr val="000000"/>
              </ns1:solidFill>
            </c:spPr>
          </c:marker>
          <c:cat>
            <c:strRef>
              <c:f>'15_청주 미술관_사업체고용'!$A$7:$A$13</c:f>
              <c:strCache>
                <c:ptCount val="7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</c:strCache>
            </c:strRef>
          </c:cat>
          <c:val>
            <c:numRef>
              <c:f>'15_청주 미술관_사업체고용'!$I$7:$I$13</c:f>
              <c:numCache>
                <c:formatCode>#,##0.0</c:formatCode>
                <c:ptCount val="7"/>
                <c:pt idx="0">
                  <c:v>68</c:v>
                </c:pt>
                <c:pt idx="1">
                  <c:v>59</c:v>
                </c:pt>
                <c:pt idx="2">
                  <c:v>50</c:v>
                </c:pt>
                <c:pt idx="3">
                  <c:v>55</c:v>
                </c:pt>
                <c:pt idx="4">
                  <c:v>48</c:v>
                </c:pt>
                <c:pt idx="6">
                  <c:v>165</c:v>
                </c:pt>
              </c:numCache>
            </c:numRef>
          </c:val>
          <c:smooth val="0"/>
        </c:ser>
        <c:ser>
          <c:idx val="1"/>
          <c:order val="1"/>
          <c:tx>
            <c:v>비교 R업종 종사자(명)</c:v>
          </c:tx>
          <c:spPr>
            <a:solidFill xmlns:a="http://schemas.openxmlformats.org/drawingml/2006/main">
              <a:srgbClr val="777777"/>
            </a:solidFill>
            <ns2:ln xmlns:ns2="http://schemas.openxmlformats.org/drawingml/2006/main" w="19050">
              <ns2:solidFill>
                <ns2:srgbClr val="777777"/>
              </ns2:solidFill>
              <ns2:prstDash val="dash"/>
            </ns2:ln>
          </c:spPr>
          <c:marker>
            <c:symbol val="circle"/>
            <c:size val="4"/>
            <c:spPr>
              <ns3:solidFill xmlns:ns3="http://schemas.openxmlformats.org/drawingml/2006/main">
                <ns3:srgbClr val="777777"/>
              </ns3:solidFill>
            </c:spPr>
          </c:marker>
          <c:cat>
            <c:strRef>
              <c:f>'15_청주 미술관_사업체고용'!$A$7:$A$13</c:f>
              <c:strCache>
                <c:ptCount val="7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</c:strCache>
            </c:strRef>
          </c:cat>
          <c:val>
            <c:numRef>
              <c:f>'15_청주 미술관_사업체고용'!$J$7:$J$13</c:f>
              <c:numCache>
                <c:formatCode>#,##0.0</c:formatCode>
                <c:ptCount val="7"/>
                <c:pt idx="0">
                  <c:v>54.3333333333333</c:v>
                </c:pt>
                <c:pt idx="1">
                  <c:v>60.6666666666667</c:v>
                </c:pt>
                <c:pt idx="2">
                  <c:v>62.6666666666667</c:v>
                </c:pt>
                <c:pt idx="3">
                  <c:v>60.3333333333333</c:v>
                </c:pt>
                <c:pt idx="4">
                  <c:v>58.3333333333333</c:v>
                </c:pt>
                <c:pt idx="6">
                  <c:v>59.3333333333333</c:v>
                </c:pt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연도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명</a:t>
                </a:r>
              </a:p>
            </c:rich>
          </c:tx>
          <c:overlay val="0"/>
        </c:title>
        <c:numFmt formatCode="#,##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Malgun Gothic"/>
              <a:ea typeface="Malgun Gothic"/>
              <a:cs typeface="Malgun Gothic"/>
            </a:defRPr>
          </a:pPr>
        </a:p>
      </c:txPr>
    </c:legend>
    <c:plotVisOnly val="1"/>
    <c:dispBlanksAs val="gap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Malgun Gothic"/>
                <a:ea typeface="Malgun Gothic"/>
                <a:cs typeface="Malgun Gothic"/>
              </a:rPr>
              <a:t>총사업체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Malgun Gothic"/>
              <a:ea typeface="Malgun Gothic"/>
              <a:cs typeface="Malgun Gothic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처치 총사업체(개)</c:v>
          </c:tx>
          <c:spPr>
            <a:solidFill xmlns:a="http://schemas.openxmlformats.org/drawingml/2006/main">
              <a:srgbClr val="000000"/>
            </a:solidFill>
            <ns0:ln xmlns:ns0="http://schemas.openxmlformats.org/drawingml/2006/main" w="19050">
              <ns0:solidFill>
                <ns0:srgbClr val="000000"/>
              </ns0:solidFill>
              <ns0:prstDash val="solid"/>
            </ns0:ln>
          </c:spPr>
          <c:marker>
            <c:symbol val="circle"/>
            <c:size val="4"/>
            <c:spPr>
              <ns1:solidFill xmlns:ns1="http://schemas.openxmlformats.org/drawingml/2006/main">
                <ns1:srgbClr val="000000"/>
              </ns1:solidFill>
            </c:spPr>
          </c:marker>
          <c:cat>
            <c:strRef>
              <c:f>'16_팔복예술공장_사업체고용'!$A$7:$A$13</c:f>
              <c:strCache>
                <c:ptCount val="7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</c:strCache>
            </c:strRef>
          </c:cat>
          <c:val>
            <c:numRef>
              <c:f>'16_팔복예술공장_사업체고용'!$C$7:$C$13</c:f>
              <c:numCache>
                <c:formatCode>#,##0.0</c:formatCode>
                <c:ptCount val="7"/>
                <c:pt idx="0">
                  <c:v>1935</c:v>
                </c:pt>
                <c:pt idx="1">
                  <c:v>2184</c:v>
                </c:pt>
                <c:pt idx="2">
                  <c:v>2128</c:v>
                </c:pt>
                <c:pt idx="3">
                  <c:v>1846</c:v>
                </c:pt>
                <c:pt idx="4">
                  <c:v>1755</c:v>
                </c:pt>
                <c:pt idx="6">
                  <c:v>1807</c:v>
                </c:pt>
              </c:numCache>
            </c:numRef>
          </c:val>
          <c:smooth val="0"/>
        </c:ser>
        <c:ser>
          <c:idx val="1"/>
          <c:order val="1"/>
          <c:tx>
            <c:v>비교 총사업체(개)</c:v>
          </c:tx>
          <c:spPr>
            <a:solidFill xmlns:a="http://schemas.openxmlformats.org/drawingml/2006/main">
              <a:srgbClr val="777777"/>
            </a:solidFill>
            <ns2:ln xmlns:ns2="http://schemas.openxmlformats.org/drawingml/2006/main" w="19050">
              <ns2:solidFill>
                <ns2:srgbClr val="777777"/>
              </ns2:solidFill>
              <ns2:prstDash val="dash"/>
            </ns2:ln>
          </c:spPr>
          <c:marker>
            <c:symbol val="circle"/>
            <c:size val="4"/>
            <c:spPr>
              <ns3:solidFill xmlns:ns3="http://schemas.openxmlformats.org/drawingml/2006/main">
                <ns3:srgbClr val="777777"/>
              </ns3:solidFill>
            </c:spPr>
          </c:marker>
          <c:cat>
            <c:strRef>
              <c:f>'16_팔복예술공장_사업체고용'!$A$7:$A$13</c:f>
              <c:strCache>
                <c:ptCount val="7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</c:strCache>
            </c:strRef>
          </c:cat>
          <c:val>
            <c:numRef>
              <c:f>'16_팔복예술공장_사업체고용'!$D$7:$D$13</c:f>
              <c:numCache>
                <c:formatCode>#,##0.0</c:formatCode>
                <c:ptCount val="7"/>
                <c:pt idx="0">
                  <c:v>1700.66666666667</c:v>
                </c:pt>
                <c:pt idx="1">
                  <c:v>1780.66666666667</c:v>
                </c:pt>
                <c:pt idx="2">
                  <c:v>1791.66666666667</c:v>
                </c:pt>
                <c:pt idx="3">
                  <c:v>1797.33333333333</c:v>
                </c:pt>
                <c:pt idx="4">
                  <c:v>1822.66666666667</c:v>
                </c:pt>
                <c:pt idx="6">
                  <c:v>1889.66666666667</c:v>
                </c:pt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연도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개</a:t>
                </a:r>
              </a:p>
            </c:rich>
          </c:tx>
          <c:overlay val="0"/>
        </c:title>
        <c:numFmt formatCode="#,##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Malgun Gothic"/>
              <a:ea typeface="Malgun Gothic"/>
              <a:cs typeface="Malgun Gothic"/>
            </a:defRPr>
          </a:pPr>
        </a:p>
      </c:txPr>
    </c:legend>
    <c:plotVisOnly val="1"/>
    <c:dispBlanksAs val="gap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Malgun Gothic"/>
                <a:ea typeface="Malgun Gothic"/>
                <a:cs typeface="Malgun Gothic"/>
              </a:rPr>
              <a:t>숙박 및 음식점 사업체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Malgun Gothic"/>
              <a:ea typeface="Malgun Gothic"/>
              <a:cs typeface="Malgun Gothic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처치 숙박 음식점 사업체(개)</c:v>
          </c:tx>
          <c:spPr>
            <a:solidFill xmlns:a="http://schemas.openxmlformats.org/drawingml/2006/main">
              <a:srgbClr val="000000"/>
            </a:solidFill>
            <ns0:ln xmlns:ns0="http://schemas.openxmlformats.org/drawingml/2006/main" w="19050">
              <ns0:solidFill>
                <ns0:srgbClr val="000000"/>
              </ns0:solidFill>
              <ns0:prstDash val="solid"/>
            </ns0:ln>
          </c:spPr>
          <c:marker>
            <c:symbol val="circle"/>
            <c:size val="4"/>
            <c:spPr>
              <ns1:solidFill xmlns:ns1="http://schemas.openxmlformats.org/drawingml/2006/main">
                <ns1:srgbClr val="000000"/>
              </ns1:solidFill>
            </c:spPr>
          </c:marker>
          <c:cat>
            <c:strRef>
              <c:f>'16_팔복예술공장_사업체고용'!$A$7:$A$13</c:f>
              <c:strCache>
                <c:ptCount val="7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</c:strCache>
            </c:strRef>
          </c:cat>
          <c:val>
            <c:numRef>
              <c:f>'16_팔복예술공장_사업체고용'!$E$7:$E$13</c:f>
              <c:numCache>
                <c:formatCode>#,##0.0</c:formatCode>
                <c:ptCount val="7"/>
                <c:pt idx="0">
                  <c:v>118</c:v>
                </c:pt>
                <c:pt idx="1">
                  <c:v>128</c:v>
                </c:pt>
                <c:pt idx="2">
                  <c:v>122</c:v>
                </c:pt>
                <c:pt idx="3">
                  <c:v>116</c:v>
                </c:pt>
                <c:pt idx="4">
                  <c:v>116</c:v>
                </c:pt>
                <c:pt idx="6">
                  <c:v>120</c:v>
                </c:pt>
              </c:numCache>
            </c:numRef>
          </c:val>
          <c:smooth val="0"/>
        </c:ser>
        <c:ser>
          <c:idx val="1"/>
          <c:order val="1"/>
          <c:tx>
            <c:v>비교 숙박 음식점 사업체(개)</c:v>
          </c:tx>
          <c:spPr>
            <a:solidFill xmlns:a="http://schemas.openxmlformats.org/drawingml/2006/main">
              <a:srgbClr val="777777"/>
            </a:solidFill>
            <ns2:ln xmlns:ns2="http://schemas.openxmlformats.org/drawingml/2006/main" w="19050">
              <ns2:solidFill>
                <ns2:srgbClr val="777777"/>
              </ns2:solidFill>
              <ns2:prstDash val="dash"/>
            </ns2:ln>
          </c:spPr>
          <c:marker>
            <c:symbol val="circle"/>
            <c:size val="4"/>
            <c:spPr>
              <ns3:solidFill xmlns:ns3="http://schemas.openxmlformats.org/drawingml/2006/main">
                <ns3:srgbClr val="777777"/>
              </ns3:solidFill>
            </c:spPr>
          </c:marker>
          <c:cat>
            <c:strRef>
              <c:f>'16_팔복예술공장_사업체고용'!$A$7:$A$13</c:f>
              <c:strCache>
                <c:ptCount val="7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</c:strCache>
            </c:strRef>
          </c:cat>
          <c:val>
            <c:numRef>
              <c:f>'16_팔복예술공장_사업체고용'!$F$7:$F$13</c:f>
              <c:numCache>
                <c:formatCode>#,##0.0</c:formatCode>
                <c:ptCount val="7"/>
                <c:pt idx="0">
                  <c:v>290</c:v>
                </c:pt>
                <c:pt idx="1">
                  <c:v>292.333333333333</c:v>
                </c:pt>
                <c:pt idx="2">
                  <c:v>295</c:v>
                </c:pt>
                <c:pt idx="3">
                  <c:v>300.666666666667</c:v>
                </c:pt>
                <c:pt idx="4">
                  <c:v>305.666666666667</c:v>
                </c:pt>
                <c:pt idx="6">
                  <c:v>324.666666666667</c:v>
                </c:pt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연도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개</a:t>
                </a:r>
              </a:p>
            </c:rich>
          </c:tx>
          <c:overlay val="0"/>
        </c:title>
        <c:numFmt formatCode="#,##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Malgun Gothic"/>
              <a:ea typeface="Malgun Gothic"/>
              <a:cs typeface="Malgun Gothic"/>
            </a:defRPr>
          </a:pPr>
        </a:p>
      </c:txPr>
    </c:legend>
    <c:plotVisOnly val="1"/>
    <c:dispBlanksAs val="gap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Malgun Gothic"/>
                <a:ea typeface="Malgun Gothic"/>
                <a:cs typeface="Malgun Gothic"/>
              </a:rPr>
              <a:t>전체 종사자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Malgun Gothic"/>
              <a:ea typeface="Malgun Gothic"/>
              <a:cs typeface="Malgun Gothic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처치 전체 종사자(명)</c:v>
          </c:tx>
          <c:spPr>
            <a:solidFill xmlns:a="http://schemas.openxmlformats.org/drawingml/2006/main">
              <a:srgbClr val="000000"/>
            </a:solidFill>
            <ns0:ln xmlns:ns0="http://schemas.openxmlformats.org/drawingml/2006/main" w="19050">
              <ns0:solidFill>
                <ns0:srgbClr val="000000"/>
              </ns0:solidFill>
              <ns0:prstDash val="solid"/>
            </ns0:ln>
          </c:spPr>
          <c:marker>
            <c:symbol val="circle"/>
            <c:size val="4"/>
            <c:spPr>
              <ns1:solidFill xmlns:ns1="http://schemas.openxmlformats.org/drawingml/2006/main">
                <ns1:srgbClr val="000000"/>
              </ns1:solidFill>
            </c:spPr>
          </c:marker>
          <c:cat>
            <c:strRef>
              <c:f>'16_팔복예술공장_사업체고용'!$A$7:$A$13</c:f>
              <c:strCache>
                <c:ptCount val="7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</c:strCache>
            </c:strRef>
          </c:cat>
          <c:val>
            <c:numRef>
              <c:f>'16_팔복예술공장_사업체고용'!$G$7:$G$13</c:f>
              <c:numCache>
                <c:formatCode>#,##0.0</c:formatCode>
                <c:ptCount val="7"/>
                <c:pt idx="0">
                  <c:v>16548</c:v>
                </c:pt>
                <c:pt idx="1">
                  <c:v>16706</c:v>
                </c:pt>
                <c:pt idx="2">
                  <c:v>16928</c:v>
                </c:pt>
                <c:pt idx="3">
                  <c:v>15966</c:v>
                </c:pt>
                <c:pt idx="4">
                  <c:v>15652</c:v>
                </c:pt>
                <c:pt idx="6">
                  <c:v>16187</c:v>
                </c:pt>
              </c:numCache>
            </c:numRef>
          </c:val>
          <c:smooth val="0"/>
        </c:ser>
        <c:ser>
          <c:idx val="1"/>
          <c:order val="1"/>
          <c:tx>
            <c:v>비교 전체 종사자(명)</c:v>
          </c:tx>
          <c:spPr>
            <a:solidFill xmlns:a="http://schemas.openxmlformats.org/drawingml/2006/main">
              <a:srgbClr val="777777"/>
            </a:solidFill>
            <ns2:ln xmlns:ns2="http://schemas.openxmlformats.org/drawingml/2006/main" w="19050">
              <ns2:solidFill>
                <ns2:srgbClr val="777777"/>
              </ns2:solidFill>
              <ns2:prstDash val="dash"/>
            </ns2:ln>
          </c:spPr>
          <c:marker>
            <c:symbol val="circle"/>
            <c:size val="4"/>
            <c:spPr>
              <ns3:solidFill xmlns:ns3="http://schemas.openxmlformats.org/drawingml/2006/main">
                <ns3:srgbClr val="777777"/>
              </ns3:solidFill>
            </c:spPr>
          </c:marker>
          <c:cat>
            <c:strRef>
              <c:f>'16_팔복예술공장_사업체고용'!$A$7:$A$13</c:f>
              <c:strCache>
                <c:ptCount val="7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</c:strCache>
            </c:strRef>
          </c:cat>
          <c:val>
            <c:numRef>
              <c:f>'16_팔복예술공장_사업체고용'!$H$7:$H$13</c:f>
              <c:numCache>
                <c:formatCode>#,##0.0</c:formatCode>
                <c:ptCount val="7"/>
                <c:pt idx="0">
                  <c:v>11607</c:v>
                </c:pt>
                <c:pt idx="1">
                  <c:v>11356.6666666667</c:v>
                </c:pt>
                <c:pt idx="2">
                  <c:v>11463</c:v>
                </c:pt>
                <c:pt idx="3">
                  <c:v>11688</c:v>
                </c:pt>
                <c:pt idx="4">
                  <c:v>11505.6666666667</c:v>
                </c:pt>
                <c:pt idx="6">
                  <c:v>11858.3333333333</c:v>
                </c:pt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연도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명</a:t>
                </a:r>
              </a:p>
            </c:rich>
          </c:tx>
          <c:overlay val="0"/>
        </c:title>
        <c:numFmt formatCode="#,##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Malgun Gothic"/>
              <a:ea typeface="Malgun Gothic"/>
              <a:cs typeface="Malgun Gothic"/>
            </a:defRPr>
          </a:pPr>
        </a:p>
      </c:txPr>
    </c:legend>
    <c:plotVisOnly val="1"/>
    <c:dispBlanksAs val="gap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Malgun Gothic"/>
                <a:ea typeface="Malgun Gothic"/>
                <a:cs typeface="Malgun Gothic"/>
              </a:rPr>
              <a:t>예술 스포츠 및 여가 종사자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Malgun Gothic"/>
              <a:ea typeface="Malgun Gothic"/>
              <a:cs typeface="Malgun Gothic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처치 R업종 종사자(명)</c:v>
          </c:tx>
          <c:spPr>
            <a:solidFill xmlns:a="http://schemas.openxmlformats.org/drawingml/2006/main">
              <a:srgbClr val="000000"/>
            </a:solidFill>
            <ns0:ln xmlns:ns0="http://schemas.openxmlformats.org/drawingml/2006/main" w="19050">
              <ns0:solidFill>
                <ns0:srgbClr val="000000"/>
              </ns0:solidFill>
              <ns0:prstDash val="solid"/>
            </ns0:ln>
          </c:spPr>
          <c:marker>
            <c:symbol val="circle"/>
            <c:size val="4"/>
            <c:spPr>
              <ns1:solidFill xmlns:ns1="http://schemas.openxmlformats.org/drawingml/2006/main">
                <ns1:srgbClr val="000000"/>
              </ns1:solidFill>
            </c:spPr>
          </c:marker>
          <c:cat>
            <c:strRef>
              <c:f>'16_팔복예술공장_사업체고용'!$A$7:$A$13</c:f>
              <c:strCache>
                <c:ptCount val="7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</c:strCache>
            </c:strRef>
          </c:cat>
          <c:val>
            <c:numRef>
              <c:f>'16_팔복예술공장_사업체고용'!$I$7:$I$13</c:f>
              <c:numCache>
                <c:formatCode>#,##0.0</c:formatCode>
                <c:ptCount val="7"/>
                <c:pt idx="0">
                  <c:v>23</c:v>
                </c:pt>
                <c:pt idx="1">
                  <c:v>31</c:v>
                </c:pt>
                <c:pt idx="2">
                  <c:v>29</c:v>
                </c:pt>
                <c:pt idx="3">
                  <c:v>28</c:v>
                </c:pt>
                <c:pt idx="4">
                  <c:v>37</c:v>
                </c:pt>
                <c:pt idx="6">
                  <c:v>37</c:v>
                </c:pt>
              </c:numCache>
            </c:numRef>
          </c:val>
          <c:smooth val="0"/>
        </c:ser>
        <c:ser>
          <c:idx val="1"/>
          <c:order val="1"/>
          <c:tx>
            <c:v>비교 R업종 종사자(명)</c:v>
          </c:tx>
          <c:spPr>
            <a:solidFill xmlns:a="http://schemas.openxmlformats.org/drawingml/2006/main">
              <a:srgbClr val="777777"/>
            </a:solidFill>
            <ns2:ln xmlns:ns2="http://schemas.openxmlformats.org/drawingml/2006/main" w="19050">
              <ns2:solidFill>
                <ns2:srgbClr val="777777"/>
              </ns2:solidFill>
              <ns2:prstDash val="dash"/>
            </ns2:ln>
          </c:spPr>
          <c:marker>
            <c:symbol val="circle"/>
            <c:size val="4"/>
            <c:spPr>
              <ns3:solidFill xmlns:ns3="http://schemas.openxmlformats.org/drawingml/2006/main">
                <ns3:srgbClr val="777777"/>
              </ns3:solidFill>
            </c:spPr>
          </c:marker>
          <c:cat>
            <c:strRef>
              <c:f>'16_팔복예술공장_사업체고용'!$A$7:$A$13</c:f>
              <c:strCache>
                <c:ptCount val="7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</c:strCache>
            </c:strRef>
          </c:cat>
          <c:val>
            <c:numRef>
              <c:f>'16_팔복예술공장_사업체고용'!$J$7:$J$13</c:f>
              <c:numCache>
                <c:formatCode>#,##0.0</c:formatCode>
                <c:ptCount val="7"/>
                <c:pt idx="0">
                  <c:v>180</c:v>
                </c:pt>
                <c:pt idx="1">
                  <c:v>165.333333333333</c:v>
                </c:pt>
                <c:pt idx="2">
                  <c:v>139.333333333333</c:v>
                </c:pt>
                <c:pt idx="3">
                  <c:v>172.333333333333</c:v>
                </c:pt>
                <c:pt idx="4">
                  <c:v>173.666666666667</c:v>
                </c:pt>
                <c:pt idx="6">
                  <c:v>187.666666666667</c:v>
                </c:pt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연도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명</a:t>
                </a:r>
              </a:p>
            </c:rich>
          </c:tx>
          <c:overlay val="0"/>
        </c:title>
        <c:numFmt formatCode="#,##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Malgun Gothic"/>
              <a:ea typeface="Malgun Gothic"/>
              <a:cs typeface="Malgun Gothic"/>
            </a:defRPr>
          </a:pPr>
        </a:p>
      </c:txPr>
    </c:legend>
    <c:plotVisOnly val="1"/>
    <c:dispBlanksAs val="gap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Malgun Gothic"/>
                <a:ea typeface="Malgun Gothic"/>
                <a:cs typeface="Malgun Gothic"/>
              </a:rPr>
              <a:t>주민등록인구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Malgun Gothic"/>
              <a:ea typeface="Malgun Gothic"/>
              <a:cs typeface="Malgun Gothic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1:1</c:v>
          </c:tx>
          <c:spPr>
            <a:solidFill xmlns:a="http://schemas.openxmlformats.org/drawingml/2006/main">
              <a:srgbClr val="000000"/>
            </a:solidFill>
          </c:spPr>
          <c:cat>
            <c:strRef>
              <c:f>'17_매칭비율'!$A$7:$A$11</c:f>
              <c:strCache>
                <c:ptCount val="5"/>
                <c:pt idx="0">
                  <c:v>문화비축기지</c:v>
                </c:pt>
                <c:pt idx="1">
                  <c:v>F1963</c:v>
                </c:pt>
                <c:pt idx="2">
                  <c:v>고색뉴지엄</c:v>
                </c:pt>
                <c:pt idx="3">
                  <c:v>청주 미술관</c:v>
                </c:pt>
                <c:pt idx="4">
                  <c:v>팔복예술공장</c:v>
                </c:pt>
              </c:strCache>
            </c:strRef>
          </c:cat>
          <c:val>
            <c:numRef>
              <c:f>'17_매칭비율'!$B$7:$B$11</c:f>
              <c:numCache>
                <c:formatCode>#,##0.0</c:formatCode>
                <c:ptCount val="5"/>
                <c:pt idx="0">
                  <c:v>2646.19999999999</c:v>
                </c:pt>
                <c:pt idx="1">
                  <c:v>442.999999999996</c:v>
                </c:pt>
                <c:pt idx="2">
                  <c:v>7123.39999999999</c:v>
                </c:pt>
                <c:pt idx="3">
                  <c:v>1202.6</c:v>
                </c:pt>
                <c:pt idx="4">
                  <c:v>-565.399999999998</c:v>
                </c:pt>
              </c:numCache>
            </c:numRef>
          </c:val>
        </c:ser>
        <c:ser>
          <c:idx val="1"/>
          <c:order val="1"/>
          <c:tx>
            <c:v>1:2</c:v>
          </c:tx>
          <c:spPr>
            <a:solidFill xmlns:a="http://schemas.openxmlformats.org/drawingml/2006/main">
              <a:srgbClr val="777777"/>
            </a:solidFill>
          </c:spPr>
          <c:cat>
            <c:strRef>
              <c:f>'17_매칭비율'!$A$7:$A$11</c:f>
              <c:strCache>
                <c:ptCount val="5"/>
                <c:pt idx="0">
                  <c:v>문화비축기지</c:v>
                </c:pt>
                <c:pt idx="1">
                  <c:v>F1963</c:v>
                </c:pt>
                <c:pt idx="2">
                  <c:v>고색뉴지엄</c:v>
                </c:pt>
                <c:pt idx="3">
                  <c:v>청주 미술관</c:v>
                </c:pt>
                <c:pt idx="4">
                  <c:v>팔복예술공장</c:v>
                </c:pt>
              </c:strCache>
            </c:strRef>
          </c:cat>
          <c:val>
            <c:numRef>
              <c:f>'17_매칭비율'!$C$7:$C$11</c:f>
              <c:numCache>
                <c:formatCode>#,##0.0</c:formatCode>
                <c:ptCount val="5"/>
                <c:pt idx="0">
                  <c:v>388.300000000003</c:v>
                </c:pt>
                <c:pt idx="1">
                  <c:v>-1758</c:v>
                </c:pt>
                <c:pt idx="2">
                  <c:v>6365.7</c:v>
                </c:pt>
                <c:pt idx="3">
                  <c:v>2245.30000000001</c:v>
                </c:pt>
                <c:pt idx="4">
                  <c:v>-1157.5</c:v>
                </c:pt>
              </c:numCache>
            </c:numRef>
          </c:val>
        </c:ser>
        <c:ser>
          <c:idx val="2"/>
          <c:order val="2"/>
          <c:tx>
            <c:v>1:3</c:v>
          </c:tx>
          <c:spPr>
            <a:solidFill xmlns:a="http://schemas.openxmlformats.org/drawingml/2006/main">
              <a:srgbClr val="333333"/>
            </a:solidFill>
          </c:spPr>
          <c:cat>
            <c:strRef>
              <c:f>'17_매칭비율'!$A$7:$A$11</c:f>
              <c:strCache>
                <c:ptCount val="5"/>
                <c:pt idx="0">
                  <c:v>문화비축기지</c:v>
                </c:pt>
                <c:pt idx="1">
                  <c:v>F1963</c:v>
                </c:pt>
                <c:pt idx="2">
                  <c:v>고색뉴지엄</c:v>
                </c:pt>
                <c:pt idx="3">
                  <c:v>청주 미술관</c:v>
                </c:pt>
                <c:pt idx="4">
                  <c:v>팔복예술공장</c:v>
                </c:pt>
              </c:strCache>
            </c:strRef>
          </c:cat>
          <c:val>
            <c:numRef>
              <c:f>'17_매칭비율'!$D$7:$D$11</c:f>
              <c:numCache>
                <c:formatCode>#,##0.0</c:formatCode>
                <c:ptCount val="5"/>
                <c:pt idx="0">
                  <c:v>1273.73333333334</c:v>
                </c:pt>
                <c:pt idx="1">
                  <c:v>-1796.46666666666</c:v>
                </c:pt>
                <c:pt idx="2">
                  <c:v>5527.13333333334</c:v>
                </c:pt>
                <c:pt idx="3">
                  <c:v>2290.86666666667</c:v>
                </c:pt>
                <c:pt idx="4">
                  <c:v>-1366.46666666668</c:v>
                </c:pt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사례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명</a:t>
                </a:r>
              </a:p>
            </c:rich>
          </c:tx>
          <c:overlay val="0"/>
        </c:title>
        <c:numFmt formatCode="#,##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Malgun Gothic"/>
              <a:ea typeface="Malgun Gothic"/>
              <a:cs typeface="Malgun Gothic"/>
            </a:defRPr>
          </a:pPr>
        </a:p>
      </c:txPr>
    </c:legend>
    <c:plotVisOnly val="1"/>
    <c:dispBlanksAs val="gap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Malgun Gothic"/>
                <a:ea typeface="Malgun Gothic"/>
                <a:cs typeface="Malgun Gothic"/>
              </a:rPr>
              <a:t>청년비율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Malgun Gothic"/>
              <a:ea typeface="Malgun Gothic"/>
              <a:cs typeface="Malgun Gothic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1:1</c:v>
          </c:tx>
          <c:spPr>
            <a:solidFill xmlns:a="http://schemas.openxmlformats.org/drawingml/2006/main">
              <a:srgbClr val="000000"/>
            </a:solidFill>
          </c:spPr>
          <c:cat>
            <c:strRef>
              <c:f>'17_매칭비율'!$G$7:$G$11</c:f>
              <c:strCache>
                <c:ptCount val="5"/>
                <c:pt idx="0">
                  <c:v>문화비축기지</c:v>
                </c:pt>
                <c:pt idx="1">
                  <c:v>F1963</c:v>
                </c:pt>
                <c:pt idx="2">
                  <c:v>고색뉴지엄</c:v>
                </c:pt>
                <c:pt idx="3">
                  <c:v>청주 미술관</c:v>
                </c:pt>
                <c:pt idx="4">
                  <c:v>팔복예술공장</c:v>
                </c:pt>
              </c:strCache>
            </c:strRef>
          </c:cat>
          <c:val>
            <c:numRef>
              <c:f>'17_매칭비율'!$H$7:$H$11</c:f>
              <c:numCache>
                <c:formatCode>0.000</c:formatCode>
                <c:ptCount val="5"/>
                <c:pt idx="0">
                  <c:v>6.52591584530563</c:v>
                </c:pt>
                <c:pt idx="1">
                  <c:v>0.571964610917923</c:v>
                </c:pt>
                <c:pt idx="2">
                  <c:v>1.52294772946521</c:v>
                </c:pt>
                <c:pt idx="3">
                  <c:v>1.0111272361514</c:v>
                </c:pt>
                <c:pt idx="4">
                  <c:v>-1.31296975359672</c:v>
                </c:pt>
              </c:numCache>
            </c:numRef>
          </c:val>
        </c:ser>
        <c:ser>
          <c:idx val="1"/>
          <c:order val="1"/>
          <c:tx>
            <c:v>1:2</c:v>
          </c:tx>
          <c:spPr>
            <a:solidFill xmlns:a="http://schemas.openxmlformats.org/drawingml/2006/main">
              <a:srgbClr val="777777"/>
            </a:solidFill>
          </c:spPr>
          <c:cat>
            <c:strRef>
              <c:f>'17_매칭비율'!$G$7:$G$11</c:f>
              <c:strCache>
                <c:ptCount val="5"/>
                <c:pt idx="0">
                  <c:v>문화비축기지</c:v>
                </c:pt>
                <c:pt idx="1">
                  <c:v>F1963</c:v>
                </c:pt>
                <c:pt idx="2">
                  <c:v>고색뉴지엄</c:v>
                </c:pt>
                <c:pt idx="3">
                  <c:v>청주 미술관</c:v>
                </c:pt>
                <c:pt idx="4">
                  <c:v>팔복예술공장</c:v>
                </c:pt>
              </c:strCache>
            </c:strRef>
          </c:cat>
          <c:val>
            <c:numRef>
              <c:f>'17_매칭비율'!$I$7:$I$11</c:f>
              <c:numCache>
                <c:formatCode>0.000</c:formatCode>
                <c:ptCount val="5"/>
                <c:pt idx="0">
                  <c:v>6.75243160287442</c:v>
                </c:pt>
                <c:pt idx="1">
                  <c:v>-1.58757983983644</c:v>
                </c:pt>
                <c:pt idx="2">
                  <c:v>0.728430432357526</c:v>
                </c:pt>
                <c:pt idx="3">
                  <c:v>-0.237801257949222</c:v>
                </c:pt>
                <c:pt idx="4">
                  <c:v>-1.0039418682303</c:v>
                </c:pt>
              </c:numCache>
            </c:numRef>
          </c:val>
        </c:ser>
        <c:ser>
          <c:idx val="2"/>
          <c:order val="2"/>
          <c:tx>
            <c:v>1:3</c:v>
          </c:tx>
          <c:spPr>
            <a:solidFill xmlns:a="http://schemas.openxmlformats.org/drawingml/2006/main">
              <a:srgbClr val="333333"/>
            </a:solidFill>
          </c:spPr>
          <c:cat>
            <c:strRef>
              <c:f>'17_매칭비율'!$G$7:$G$11</c:f>
              <c:strCache>
                <c:ptCount val="5"/>
                <c:pt idx="0">
                  <c:v>문화비축기지</c:v>
                </c:pt>
                <c:pt idx="1">
                  <c:v>F1963</c:v>
                </c:pt>
                <c:pt idx="2">
                  <c:v>고색뉴지엄</c:v>
                </c:pt>
                <c:pt idx="3">
                  <c:v>청주 미술관</c:v>
                </c:pt>
                <c:pt idx="4">
                  <c:v>팔복예술공장</c:v>
                </c:pt>
              </c:strCache>
            </c:strRef>
          </c:cat>
          <c:val>
            <c:numRef>
              <c:f>'17_매칭비율'!$J$7:$J$11</c:f>
              <c:numCache>
                <c:formatCode>0.000</c:formatCode>
                <c:ptCount val="5"/>
                <c:pt idx="0">
                  <c:v>6.56129426295591</c:v>
                </c:pt>
                <c:pt idx="1">
                  <c:v>-1.75291179016295</c:v>
                </c:pt>
                <c:pt idx="2">
                  <c:v>0.942872527747522</c:v>
                </c:pt>
                <c:pt idx="3">
                  <c:v>0.554052323858221</c:v>
                </c:pt>
                <c:pt idx="4">
                  <c:v>-0.378744819767915</c:v>
                </c:pt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사례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%p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Malgun Gothic"/>
              <a:ea typeface="Malgun Gothic"/>
              <a:cs typeface="Malgun Gothic"/>
            </a:defRPr>
          </a:pPr>
        </a:p>
      </c:txPr>
    </c:legend>
    <c:plotVisOnly val="1"/>
    <c:dispBlanksAs val="gap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Malgun Gothic"/>
                <a:ea typeface="Malgun Gothic"/>
                <a:cs typeface="Malgun Gothic"/>
              </a:rPr>
              <a:t>순이동자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Malgun Gothic"/>
              <a:ea typeface="Malgun Gothic"/>
              <a:cs typeface="Malgun Gothic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1:1</c:v>
          </c:tx>
          <c:spPr>
            <a:solidFill xmlns:a="http://schemas.openxmlformats.org/drawingml/2006/main">
              <a:srgbClr val="000000"/>
            </a:solidFill>
          </c:spPr>
          <c:cat>
            <c:strRef>
              <c:f>'17_매칭비율'!$M$7:$M$11</c:f>
              <c:strCache>
                <c:ptCount val="5"/>
                <c:pt idx="0">
                  <c:v>문화비축기지</c:v>
                </c:pt>
                <c:pt idx="1">
                  <c:v>F1963</c:v>
                </c:pt>
                <c:pt idx="2">
                  <c:v>고색뉴지엄</c:v>
                </c:pt>
                <c:pt idx="3">
                  <c:v>청주 미술관</c:v>
                </c:pt>
                <c:pt idx="4">
                  <c:v>팔복예술공장</c:v>
                </c:pt>
              </c:strCache>
            </c:strRef>
          </c:cat>
          <c:val>
            <c:numRef>
              <c:f>'17_매칭비율'!$N$7:$N$11</c:f>
              <c:numCache>
                <c:formatCode>#,##0.0</c:formatCode>
                <c:ptCount val="5"/>
                <c:pt idx="0">
                  <c:v>327.4</c:v>
                </c:pt>
                <c:pt idx="1">
                  <c:v>-16.5999999999999</c:v>
                </c:pt>
                <c:pt idx="2">
                  <c:v>1127.6</c:v>
                </c:pt>
                <c:pt idx="3">
                  <c:v>173.4</c:v>
                </c:pt>
                <c:pt idx="4">
                  <c:v>485</c:v>
                </c:pt>
              </c:numCache>
            </c:numRef>
          </c:val>
        </c:ser>
        <c:ser>
          <c:idx val="1"/>
          <c:order val="1"/>
          <c:tx>
            <c:v>1:2</c:v>
          </c:tx>
          <c:spPr>
            <a:solidFill xmlns:a="http://schemas.openxmlformats.org/drawingml/2006/main">
              <a:srgbClr val="777777"/>
            </a:solidFill>
          </c:spPr>
          <c:cat>
            <c:strRef>
              <c:f>'17_매칭비율'!$M$7:$M$11</c:f>
              <c:strCache>
                <c:ptCount val="5"/>
                <c:pt idx="0">
                  <c:v>문화비축기지</c:v>
                </c:pt>
                <c:pt idx="1">
                  <c:v>F1963</c:v>
                </c:pt>
                <c:pt idx="2">
                  <c:v>고색뉴지엄</c:v>
                </c:pt>
                <c:pt idx="3">
                  <c:v>청주 미술관</c:v>
                </c:pt>
                <c:pt idx="4">
                  <c:v>팔복예술공장</c:v>
                </c:pt>
              </c:strCache>
            </c:strRef>
          </c:cat>
          <c:val>
            <c:numRef>
              <c:f>'17_매칭비율'!$O$7:$O$11</c:f>
              <c:numCache>
                <c:formatCode>#,##0.0</c:formatCode>
                <c:ptCount val="5"/>
                <c:pt idx="0">
                  <c:v>39.7000000000005</c:v>
                </c:pt>
                <c:pt idx="1">
                  <c:v>-418.1</c:v>
                </c:pt>
                <c:pt idx="2">
                  <c:v>1101.8</c:v>
                </c:pt>
                <c:pt idx="3">
                  <c:v>208.1</c:v>
                </c:pt>
                <c:pt idx="4">
                  <c:v>553.8</c:v>
                </c:pt>
              </c:numCache>
            </c:numRef>
          </c:val>
        </c:ser>
        <c:ser>
          <c:idx val="2"/>
          <c:order val="2"/>
          <c:tx>
            <c:v>1:3</c:v>
          </c:tx>
          <c:spPr>
            <a:solidFill xmlns:a="http://schemas.openxmlformats.org/drawingml/2006/main">
              <a:srgbClr val="333333"/>
            </a:solidFill>
          </c:spPr>
          <c:cat>
            <c:strRef>
              <c:f>'17_매칭비율'!$M$7:$M$11</c:f>
              <c:strCache>
                <c:ptCount val="5"/>
                <c:pt idx="0">
                  <c:v>문화비축기지</c:v>
                </c:pt>
                <c:pt idx="1">
                  <c:v>F1963</c:v>
                </c:pt>
                <c:pt idx="2">
                  <c:v>고색뉴지엄</c:v>
                </c:pt>
                <c:pt idx="3">
                  <c:v>청주 미술관</c:v>
                </c:pt>
                <c:pt idx="4">
                  <c:v>팔복예술공장</c:v>
                </c:pt>
              </c:strCache>
            </c:strRef>
          </c:cat>
          <c:val>
            <c:numRef>
              <c:f>'17_매칭비율'!$P$7:$P$11</c:f>
              <c:numCache>
                <c:formatCode>#,##0.0</c:formatCode>
                <c:ptCount val="5"/>
                <c:pt idx="0">
                  <c:v>141.866666666667</c:v>
                </c:pt>
                <c:pt idx="1">
                  <c:v>-293.8</c:v>
                </c:pt>
                <c:pt idx="2">
                  <c:v>1034</c:v>
                </c:pt>
                <c:pt idx="3">
                  <c:v>48.333333333333</c:v>
                </c:pt>
                <c:pt idx="4">
                  <c:v>431.6</c:v>
                </c:pt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사례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명</a:t>
                </a:r>
              </a:p>
            </c:rich>
          </c:tx>
          <c:overlay val="0"/>
        </c:title>
        <c:numFmt formatCode="#,##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Malgun Gothic"/>
              <a:ea typeface="Malgun Gothic"/>
              <a:cs typeface="Malgun Gothic"/>
            </a:defRPr>
          </a:pPr>
        </a:p>
      </c:txPr>
    </c:legend>
    <c:plotVisOnly val="1"/>
    <c:dispBlanksAs val="gap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Malgun Gothic"/>
                <a:ea typeface="Malgun Gothic"/>
                <a:cs typeface="Malgun Gothic"/>
              </a:rPr>
              <a:t>주민등록인구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Malgun Gothic"/>
              <a:ea typeface="Malgun Gothic"/>
              <a:cs typeface="Malgun Gothic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기본</c:v>
          </c:tx>
          <c:spPr>
            <a:solidFill xmlns:a="http://schemas.openxmlformats.org/drawingml/2006/main">
              <a:srgbClr val="000000"/>
            </a:solidFill>
          </c:spPr>
          <c:cat>
            <c:strRef>
              <c:f>'18_기간과추세'!$A$7:$A$11</c:f>
              <c:strCache>
                <c:ptCount val="5"/>
                <c:pt idx="0">
                  <c:v>문화비축기지</c:v>
                </c:pt>
                <c:pt idx="1">
                  <c:v>F1963</c:v>
                </c:pt>
                <c:pt idx="2">
                  <c:v>고색뉴지엄</c:v>
                </c:pt>
                <c:pt idx="3">
                  <c:v>청주 미술관</c:v>
                </c:pt>
                <c:pt idx="4">
                  <c:v>팔복예술공장</c:v>
                </c:pt>
              </c:strCache>
            </c:strRef>
          </c:cat>
          <c:val>
            <c:numRef>
              <c:f>'18_기간과추세'!$B$7:$B$11</c:f>
              <c:numCache>
                <c:formatCode>#,##0.0</c:formatCode>
                <c:ptCount val="5"/>
                <c:pt idx="0">
                  <c:v>1273.73333333334</c:v>
                </c:pt>
                <c:pt idx="1">
                  <c:v>-1796.46666666666</c:v>
                </c:pt>
                <c:pt idx="2">
                  <c:v>5527.13333333334</c:v>
                </c:pt>
                <c:pt idx="3">
                  <c:v>2290.86666666667</c:v>
                </c:pt>
                <c:pt idx="4">
                  <c:v>-1366.46666666668</c:v>
                </c:pt>
              </c:numCache>
            </c:numRef>
          </c:val>
        </c:ser>
        <c:ser>
          <c:idx val="1"/>
          <c:order val="1"/>
          <c:tx>
            <c:v>2020~21 제외</c:v>
          </c:tx>
          <c:spPr>
            <a:solidFill xmlns:a="http://schemas.openxmlformats.org/drawingml/2006/main">
              <a:srgbClr val="777777"/>
            </a:solidFill>
          </c:spPr>
          <c:cat>
            <c:strRef>
              <c:f>'18_기간과추세'!$A$7:$A$11</c:f>
              <c:strCache>
                <c:ptCount val="5"/>
                <c:pt idx="0">
                  <c:v>문화비축기지</c:v>
                </c:pt>
                <c:pt idx="1">
                  <c:v>F1963</c:v>
                </c:pt>
                <c:pt idx="2">
                  <c:v>고색뉴지엄</c:v>
                </c:pt>
                <c:pt idx="3">
                  <c:v>청주 미술관</c:v>
                </c:pt>
                <c:pt idx="4">
                  <c:v>팔복예술공장</c:v>
                </c:pt>
              </c:strCache>
            </c:strRef>
          </c:cat>
          <c:val>
            <c:numRef>
              <c:f>'18_기간과추세'!$C$7:$C$11</c:f>
              <c:numCache>
                <c:formatCode>#,##0.0</c:formatCode>
                <c:ptCount val="5"/>
                <c:pt idx="0">
                  <c:v>1286.95555555555</c:v>
                </c:pt>
                <c:pt idx="1">
                  <c:v>-1882.17777777778</c:v>
                </c:pt>
                <c:pt idx="2">
                  <c:v>5590.93333333335</c:v>
                </c:pt>
                <c:pt idx="3">
                  <c:v>1907.95555555555</c:v>
                </c:pt>
                <c:pt idx="4">
                  <c:v>-1124.06666666667</c:v>
                </c:pt>
              </c:numCache>
            </c:numRef>
          </c:val>
        </c:ser>
        <c:ser>
          <c:idx val="2"/>
          <c:order val="2"/>
          <c:tx>
            <c:v>사후 2019년까지</c:v>
          </c:tx>
          <c:spPr>
            <a:solidFill xmlns:a="http://schemas.openxmlformats.org/drawingml/2006/main">
              <a:srgbClr val="333333"/>
            </a:solidFill>
          </c:spPr>
          <c:cat>
            <c:strRef>
              <c:f>'18_기간과추세'!$A$7:$A$11</c:f>
              <c:strCache>
                <c:ptCount val="5"/>
                <c:pt idx="0">
                  <c:v>문화비축기지</c:v>
                </c:pt>
                <c:pt idx="1">
                  <c:v>F1963</c:v>
                </c:pt>
                <c:pt idx="2">
                  <c:v>고색뉴지엄</c:v>
                </c:pt>
                <c:pt idx="3">
                  <c:v>청주 미술관</c:v>
                </c:pt>
                <c:pt idx="4">
                  <c:v>팔복예술공장</c:v>
                </c:pt>
              </c:strCache>
            </c:strRef>
          </c:cat>
          <c:val>
            <c:numRef>
              <c:f>'18_기간과추세'!$D$7:$D$11</c:f>
              <c:numCache>
                <c:formatCode>#,##0.0</c:formatCode>
                <c:ptCount val="5"/>
                <c:pt idx="0">
                  <c:v>1201.9</c:v>
                </c:pt>
                <c:pt idx="1">
                  <c:v>-1345.56666666667</c:v>
                </c:pt>
                <c:pt idx="2">
                  <c:v>5803.7666666667</c:v>
                </c:pt>
                <c:pt idx="3">
                  <c:v>994.73333333333</c:v>
                </c:pt>
                <c:pt idx="4">
                  <c:v>-1673.73333333333</c:v>
                </c:pt>
              </c:numCache>
            </c:numRef>
          </c:val>
        </c:ser>
        <c:ser>
          <c:idx val="3"/>
          <c:order val="3"/>
          <c:tx>
            <c:v>사전 추세 연장</c:v>
          </c:tx>
          <c:spPr>
            <a:solidFill xmlns:a="http://schemas.openxmlformats.org/drawingml/2006/main">
              <a:srgbClr val="999999"/>
            </a:solidFill>
          </c:spPr>
          <c:cat>
            <c:strRef>
              <c:f>'18_기간과추세'!$A$7:$A$11</c:f>
              <c:strCache>
                <c:ptCount val="5"/>
                <c:pt idx="0">
                  <c:v>문화비축기지</c:v>
                </c:pt>
                <c:pt idx="1">
                  <c:v>F1963</c:v>
                </c:pt>
                <c:pt idx="2">
                  <c:v>고색뉴지엄</c:v>
                </c:pt>
                <c:pt idx="3">
                  <c:v>청주 미술관</c:v>
                </c:pt>
                <c:pt idx="4">
                  <c:v>팔복예술공장</c:v>
                </c:pt>
              </c:strCache>
            </c:strRef>
          </c:cat>
          <c:val>
            <c:numRef>
              <c:f>'18_기간과추세'!$E$7:$E$11</c:f>
              <c:numCache>
                <c:formatCode>#,##0.0</c:formatCode>
                <c:ptCount val="5"/>
                <c:pt idx="0">
                  <c:v>102.133333333218</c:v>
                </c:pt>
                <c:pt idx="1">
                  <c:v>-632.266666666493</c:v>
                </c:pt>
                <c:pt idx="2">
                  <c:v>6477.13333333333</c:v>
                </c:pt>
                <c:pt idx="3">
                  <c:v>-74.3333333333962</c:v>
                </c:pt>
                <c:pt idx="4">
                  <c:v>139.133333333354</c:v>
                </c:pt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사례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명</a:t>
                </a:r>
              </a:p>
            </c:rich>
          </c:tx>
          <c:overlay val="0"/>
        </c:title>
        <c:numFmt formatCode="#,##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Malgun Gothic"/>
              <a:ea typeface="Malgun Gothic"/>
              <a:cs typeface="Malgun Gothic"/>
            </a:defRPr>
          </a:pPr>
        </a:p>
      </c:txPr>
    </c:legend>
    <c:plotVisOnly val="1"/>
    <c:dispBlanksAs val="gap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Malgun Gothic"/>
                <a:ea typeface="Malgun Gothic"/>
                <a:cs typeface="Malgun Gothic"/>
              </a:rPr>
              <a:t>청년비율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Malgun Gothic"/>
              <a:ea typeface="Malgun Gothic"/>
              <a:cs typeface="Malgun Gothic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기본</c:v>
          </c:tx>
          <c:spPr>
            <a:solidFill xmlns:a="http://schemas.openxmlformats.org/drawingml/2006/main">
              <a:srgbClr val="000000"/>
            </a:solidFill>
          </c:spPr>
          <c:cat>
            <c:strRef>
              <c:f>'18_기간과추세'!$G$7:$G$11</c:f>
              <c:strCache>
                <c:ptCount val="5"/>
                <c:pt idx="0">
                  <c:v>문화비축기지</c:v>
                </c:pt>
                <c:pt idx="1">
                  <c:v>F1963</c:v>
                </c:pt>
                <c:pt idx="2">
                  <c:v>고색뉴지엄</c:v>
                </c:pt>
                <c:pt idx="3">
                  <c:v>청주 미술관</c:v>
                </c:pt>
                <c:pt idx="4">
                  <c:v>팔복예술공장</c:v>
                </c:pt>
              </c:strCache>
            </c:strRef>
          </c:cat>
          <c:val>
            <c:numRef>
              <c:f>'18_기간과추세'!$H$7:$H$11</c:f>
              <c:numCache>
                <c:formatCode>0.000</c:formatCode>
                <c:ptCount val="5"/>
                <c:pt idx="0">
                  <c:v>6.56129426295591</c:v>
                </c:pt>
                <c:pt idx="1">
                  <c:v>-1.75291179016295</c:v>
                </c:pt>
                <c:pt idx="2">
                  <c:v>0.942872527747522</c:v>
                </c:pt>
                <c:pt idx="3">
                  <c:v>0.554052323858221</c:v>
                </c:pt>
                <c:pt idx="4">
                  <c:v>-0.378744819767915</c:v>
                </c:pt>
              </c:numCache>
            </c:numRef>
          </c:val>
        </c:ser>
        <c:ser>
          <c:idx val="1"/>
          <c:order val="1"/>
          <c:tx>
            <c:v>2020~21 제외</c:v>
          </c:tx>
          <c:spPr>
            <a:solidFill xmlns:a="http://schemas.openxmlformats.org/drawingml/2006/main">
              <a:srgbClr val="777777"/>
            </a:solidFill>
          </c:spPr>
          <c:cat>
            <c:strRef>
              <c:f>'18_기간과추세'!$G$7:$G$11</c:f>
              <c:strCache>
                <c:ptCount val="5"/>
                <c:pt idx="0">
                  <c:v>문화비축기지</c:v>
                </c:pt>
                <c:pt idx="1">
                  <c:v>F1963</c:v>
                </c:pt>
                <c:pt idx="2">
                  <c:v>고색뉴지엄</c:v>
                </c:pt>
                <c:pt idx="3">
                  <c:v>청주 미술관</c:v>
                </c:pt>
                <c:pt idx="4">
                  <c:v>팔복예술공장</c:v>
                </c:pt>
              </c:strCache>
            </c:strRef>
          </c:cat>
          <c:val>
            <c:numRef>
              <c:f>'18_기간과추세'!$I$7:$I$11</c:f>
              <c:numCache>
                <c:formatCode>0.000</c:formatCode>
                <c:ptCount val="5"/>
                <c:pt idx="0">
                  <c:v>6.40732688631514</c:v>
                </c:pt>
                <c:pt idx="1">
                  <c:v>-1.52925324559827</c:v>
                </c:pt>
                <c:pt idx="2">
                  <c:v>1.02119213597595</c:v>
                </c:pt>
                <c:pt idx="3">
                  <c:v>0.022056851242236</c:v>
                </c:pt>
                <c:pt idx="4">
                  <c:v>0.749695027682067</c:v>
                </c:pt>
              </c:numCache>
            </c:numRef>
          </c:val>
        </c:ser>
        <c:ser>
          <c:idx val="2"/>
          <c:order val="2"/>
          <c:tx>
            <c:v>사후 2019년까지</c:v>
          </c:tx>
          <c:spPr>
            <a:solidFill xmlns:a="http://schemas.openxmlformats.org/drawingml/2006/main">
              <a:srgbClr val="333333"/>
            </a:solidFill>
          </c:spPr>
          <c:cat>
            <c:strRef>
              <c:f>'18_기간과추세'!$G$7:$G$11</c:f>
              <c:strCache>
                <c:ptCount val="5"/>
                <c:pt idx="0">
                  <c:v>문화비축기지</c:v>
                </c:pt>
                <c:pt idx="1">
                  <c:v>F1963</c:v>
                </c:pt>
                <c:pt idx="2">
                  <c:v>고색뉴지엄</c:v>
                </c:pt>
                <c:pt idx="3">
                  <c:v>청주 미술관</c:v>
                </c:pt>
                <c:pt idx="4">
                  <c:v>팔복예술공장</c:v>
                </c:pt>
              </c:strCache>
            </c:strRef>
          </c:cat>
          <c:val>
            <c:numRef>
              <c:f>'18_기간과추세'!$J$7:$J$11</c:f>
              <c:numCache>
                <c:formatCode>0.000</c:formatCode>
                <c:ptCount val="5"/>
                <c:pt idx="0">
                  <c:v>5.44146908909955</c:v>
                </c:pt>
                <c:pt idx="1">
                  <c:v>-0.89132760733217</c:v>
                </c:pt>
                <c:pt idx="2">
                  <c:v>1.56178937623863</c:v>
                </c:pt>
                <c:pt idx="3">
                  <c:v>-0.274344186493568</c:v>
                </c:pt>
                <c:pt idx="4">
                  <c:v>-2.41944273677668</c:v>
                </c:pt>
              </c:numCache>
            </c:numRef>
          </c:val>
        </c:ser>
        <c:ser>
          <c:idx val="3"/>
          <c:order val="3"/>
          <c:tx>
            <c:v>사전 추세 연장</c:v>
          </c:tx>
          <c:spPr>
            <a:solidFill xmlns:a="http://schemas.openxmlformats.org/drawingml/2006/main">
              <a:srgbClr val="999999"/>
            </a:solidFill>
          </c:spPr>
          <c:cat>
            <c:strRef>
              <c:f>'18_기간과추세'!$G$7:$G$11</c:f>
              <c:strCache>
                <c:ptCount val="5"/>
                <c:pt idx="0">
                  <c:v>문화비축기지</c:v>
                </c:pt>
                <c:pt idx="1">
                  <c:v>F1963</c:v>
                </c:pt>
                <c:pt idx="2">
                  <c:v>고색뉴지엄</c:v>
                </c:pt>
                <c:pt idx="3">
                  <c:v>청주 미술관</c:v>
                </c:pt>
                <c:pt idx="4">
                  <c:v>팔복예술공장</c:v>
                </c:pt>
              </c:strCache>
            </c:strRef>
          </c:cat>
          <c:val>
            <c:numRef>
              <c:f>'18_기간과추세'!$K$7:$K$11</c:f>
              <c:numCache>
                <c:formatCode>0.000</c:formatCode>
                <c:ptCount val="5"/>
                <c:pt idx="0">
                  <c:v>3.38594931711465</c:v>
                </c:pt>
                <c:pt idx="1">
                  <c:v>-1.08199206466754</c:v>
                </c:pt>
                <c:pt idx="2">
                  <c:v>-0.745040793004315</c:v>
                </c:pt>
                <c:pt idx="3">
                  <c:v>1.54218524436751</c:v>
                </c:pt>
                <c:pt idx="4">
                  <c:v>3.59252138587808</c:v>
                </c:pt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사례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%p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Malgun Gothic"/>
              <a:ea typeface="Malgun Gothic"/>
              <a:cs typeface="Malgun Gothic"/>
            </a:defRPr>
          </a:pPr>
        </a:p>
      </c:txPr>
    </c:legend>
    <c:plotVisOnly val="1"/>
    <c:dispBlanksAs val="gap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28</xdr:row>
      <xdr:rowOff>0</xdr:rowOff>
    </xdr:from>
    <xdr:to>
      <xdr:col>18</xdr:col>
      <xdr:colOff>0</xdr:colOff>
      <xdr:row>54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6ac788d83994ff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23</xdr:row>
      <xdr:rowOff>0</xdr:rowOff>
    </xdr:from>
    <xdr:to>
      <xdr:col>9</xdr:col>
      <xdr:colOff>0</xdr:colOff>
      <xdr:row>42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73e749830f941c2"/>
        </a:graphicData>
      </a:graphic>
    </xdr:graphicFrame>
    <xdr:clientData/>
  </xdr:twoCellAnchor>
  <xdr:twoCellAnchor>
    <xdr:from>
      <xdr:col>9</xdr:col>
      <xdr:colOff>0</xdr:colOff>
      <xdr:row>23</xdr:row>
      <xdr:rowOff>0</xdr:rowOff>
    </xdr:from>
    <xdr:to>
      <xdr:col>18</xdr:col>
      <xdr:colOff>0</xdr:colOff>
      <xdr:row>42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846e3d4c8324a54"/>
        </a:graphicData>
      </a:graphic>
    </xdr:graphicFrame>
    <xdr:clientData/>
  </xdr:twoCellAnchor>
  <xdr:twoCellAnchor>
    <xdr:from>
      <xdr:col>0</xdr:col>
      <xdr:colOff>0</xdr:colOff>
      <xdr:row>43</xdr:row>
      <xdr:rowOff>0</xdr:rowOff>
    </xdr:from>
    <xdr:to>
      <xdr:col>9</xdr:col>
      <xdr:colOff>0</xdr:colOff>
      <xdr:row>62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2d07c698d694779"/>
        </a:graphicData>
      </a:graphic>
    </xdr:graphicFrame>
    <xdr:clientData/>
  </xdr:twoCellAnchor>
  <xdr:twoCellAnchor>
    <xdr:from>
      <xdr:col>9</xdr:col>
      <xdr:colOff>0</xdr:colOff>
      <xdr:row>43</xdr:row>
      <xdr:rowOff>0</xdr:rowOff>
    </xdr:from>
    <xdr:to>
      <xdr:col>18</xdr:col>
      <xdr:colOff>0</xdr:colOff>
      <xdr:row>62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5714fe2f0064d59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0</xdr:col>
      <xdr:colOff>0</xdr:colOff>
      <xdr:row>23</xdr:row>
      <xdr:rowOff>0</xdr:rowOff>
    </xdr:from>
    <xdr:to>
      <xdr:col>9</xdr:col>
      <xdr:colOff>0</xdr:colOff>
      <xdr:row>42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2b8ab8347074430"/>
        </a:graphicData>
      </a:graphic>
    </xdr:graphicFrame>
    <xdr:clientData/>
  </xdr:twoCellAnchor>
  <xdr:twoCellAnchor>
    <xdr:from>
      <xdr:col>9</xdr:col>
      <xdr:colOff>0</xdr:colOff>
      <xdr:row>23</xdr:row>
      <xdr:rowOff>0</xdr:rowOff>
    </xdr:from>
    <xdr:to>
      <xdr:col>18</xdr:col>
      <xdr:colOff>0</xdr:colOff>
      <xdr:row>42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21eed30f14a490b"/>
        </a:graphicData>
      </a:graphic>
    </xdr:graphicFrame>
    <xdr:clientData/>
  </xdr:twoCellAnchor>
  <xdr:twoCellAnchor>
    <xdr:from>
      <xdr:col>0</xdr:col>
      <xdr:colOff>0</xdr:colOff>
      <xdr:row>43</xdr:row>
      <xdr:rowOff>0</xdr:rowOff>
    </xdr:from>
    <xdr:to>
      <xdr:col>9</xdr:col>
      <xdr:colOff>0</xdr:colOff>
      <xdr:row>62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ffd9fe839834af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0</xdr:col>
      <xdr:colOff>0</xdr:colOff>
      <xdr:row>23</xdr:row>
      <xdr:rowOff>0</xdr:rowOff>
    </xdr:from>
    <xdr:to>
      <xdr:col>9</xdr:col>
      <xdr:colOff>0</xdr:colOff>
      <xdr:row>42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63fe1a5b6ca474e"/>
        </a:graphicData>
      </a:graphic>
    </xdr:graphicFrame>
    <xdr:clientData/>
  </xdr:twoCellAnchor>
  <xdr:twoCellAnchor>
    <xdr:from>
      <xdr:col>9</xdr:col>
      <xdr:colOff>0</xdr:colOff>
      <xdr:row>23</xdr:row>
      <xdr:rowOff>0</xdr:rowOff>
    </xdr:from>
    <xdr:to>
      <xdr:col>18</xdr:col>
      <xdr:colOff>0</xdr:colOff>
      <xdr:row>42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726612b14de4b26"/>
        </a:graphicData>
      </a:graphic>
    </xdr:graphicFrame>
    <xdr:clientData/>
  </xdr:twoCellAnchor>
  <xdr:twoCellAnchor>
    <xdr:from>
      <xdr:col>0</xdr:col>
      <xdr:colOff>0</xdr:colOff>
      <xdr:row>43</xdr:row>
      <xdr:rowOff>0</xdr:rowOff>
    </xdr:from>
    <xdr:to>
      <xdr:col>9</xdr:col>
      <xdr:colOff>0</xdr:colOff>
      <xdr:row>62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1983801206a4306"/>
        </a:graphicData>
      </a:graphic>
    </xdr:graphicFrame>
    <xdr:clientData/>
  </xdr:twoCellAnchor>
  <xdr:twoCellAnchor>
    <xdr:from>
      <xdr:col>9</xdr:col>
      <xdr:colOff>0</xdr:colOff>
      <xdr:row>43</xdr:row>
      <xdr:rowOff>0</xdr:rowOff>
    </xdr:from>
    <xdr:to>
      <xdr:col>18</xdr:col>
      <xdr:colOff>0</xdr:colOff>
      <xdr:row>62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a1346bc0a5b470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0</xdr:col>
      <xdr:colOff>0</xdr:colOff>
      <xdr:row>23</xdr:row>
      <xdr:rowOff>0</xdr:rowOff>
    </xdr:from>
    <xdr:to>
      <xdr:col>9</xdr:col>
      <xdr:colOff>0</xdr:colOff>
      <xdr:row>42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12f89099a154216"/>
        </a:graphicData>
      </a:graphic>
    </xdr:graphicFrame>
    <xdr:clientData/>
  </xdr:twoCellAnchor>
  <xdr:twoCellAnchor>
    <xdr:from>
      <xdr:col>9</xdr:col>
      <xdr:colOff>0</xdr:colOff>
      <xdr:row>23</xdr:row>
      <xdr:rowOff>0</xdr:rowOff>
    </xdr:from>
    <xdr:to>
      <xdr:col>18</xdr:col>
      <xdr:colOff>0</xdr:colOff>
      <xdr:row>42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a8c7cf9a05c4e85"/>
        </a:graphicData>
      </a:graphic>
    </xdr:graphicFrame>
    <xdr:clientData/>
  </xdr:twoCellAnchor>
  <xdr:twoCellAnchor>
    <xdr:from>
      <xdr:col>0</xdr:col>
      <xdr:colOff>0</xdr:colOff>
      <xdr:row>43</xdr:row>
      <xdr:rowOff>0</xdr:rowOff>
    </xdr:from>
    <xdr:to>
      <xdr:col>9</xdr:col>
      <xdr:colOff>0</xdr:colOff>
      <xdr:row>62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07c507d3f0f424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>
  <xdr:twoCellAnchor>
    <xdr:from>
      <xdr:col>0</xdr:col>
      <xdr:colOff>0</xdr:colOff>
      <xdr:row>23</xdr:row>
      <xdr:rowOff>0</xdr:rowOff>
    </xdr:from>
    <xdr:to>
      <xdr:col>9</xdr:col>
      <xdr:colOff>0</xdr:colOff>
      <xdr:row>42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cab2523adea472d"/>
        </a:graphicData>
      </a:graphic>
    </xdr:graphicFrame>
    <xdr:clientData/>
  </xdr:twoCellAnchor>
  <xdr:twoCellAnchor>
    <xdr:from>
      <xdr:col>9</xdr:col>
      <xdr:colOff>0</xdr:colOff>
      <xdr:row>23</xdr:row>
      <xdr:rowOff>0</xdr:rowOff>
    </xdr:from>
    <xdr:to>
      <xdr:col>18</xdr:col>
      <xdr:colOff>0</xdr:colOff>
      <xdr:row>42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3fe570f2f3241ea"/>
        </a:graphicData>
      </a:graphic>
    </xdr:graphicFrame>
    <xdr:clientData/>
  </xdr:twoCellAnchor>
  <xdr:twoCellAnchor>
    <xdr:from>
      <xdr:col>0</xdr:col>
      <xdr:colOff>0</xdr:colOff>
      <xdr:row>43</xdr:row>
      <xdr:rowOff>0</xdr:rowOff>
    </xdr:from>
    <xdr:to>
      <xdr:col>9</xdr:col>
      <xdr:colOff>0</xdr:colOff>
      <xdr:row>62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27eea716e554dbf"/>
        </a:graphicData>
      </a:graphic>
    </xdr:graphicFrame>
    <xdr:clientData/>
  </xdr:twoCellAnchor>
  <xdr:twoCellAnchor>
    <xdr:from>
      <xdr:col>9</xdr:col>
      <xdr:colOff>0</xdr:colOff>
      <xdr:row>43</xdr:row>
      <xdr:rowOff>0</xdr:rowOff>
    </xdr:from>
    <xdr:to>
      <xdr:col>18</xdr:col>
      <xdr:colOff>0</xdr:colOff>
      <xdr:row>62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1b77b284f704e1d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>
  <xdr:twoCellAnchor>
    <xdr:from>
      <xdr:col>0</xdr:col>
      <xdr:colOff>0</xdr:colOff>
      <xdr:row>23</xdr:row>
      <xdr:rowOff>0</xdr:rowOff>
    </xdr:from>
    <xdr:to>
      <xdr:col>9</xdr:col>
      <xdr:colOff>0</xdr:colOff>
      <xdr:row>42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44d47b1f1fb4306"/>
        </a:graphicData>
      </a:graphic>
    </xdr:graphicFrame>
    <xdr:clientData/>
  </xdr:twoCellAnchor>
  <xdr:twoCellAnchor>
    <xdr:from>
      <xdr:col>9</xdr:col>
      <xdr:colOff>0</xdr:colOff>
      <xdr:row>23</xdr:row>
      <xdr:rowOff>0</xdr:rowOff>
    </xdr:from>
    <xdr:to>
      <xdr:col>18</xdr:col>
      <xdr:colOff>0</xdr:colOff>
      <xdr:row>42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c2144a9bc614dad"/>
        </a:graphicData>
      </a:graphic>
    </xdr:graphicFrame>
    <xdr:clientData/>
  </xdr:twoCellAnchor>
  <xdr:twoCellAnchor>
    <xdr:from>
      <xdr:col>0</xdr:col>
      <xdr:colOff>0</xdr:colOff>
      <xdr:row>43</xdr:row>
      <xdr:rowOff>0</xdr:rowOff>
    </xdr:from>
    <xdr:to>
      <xdr:col>9</xdr:col>
      <xdr:colOff>0</xdr:colOff>
      <xdr:row>62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8c2a43a18a24c95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>
  <xdr:twoCellAnchor>
    <xdr:from>
      <xdr:col>0</xdr:col>
      <xdr:colOff>0</xdr:colOff>
      <xdr:row>23</xdr:row>
      <xdr:rowOff>0</xdr:rowOff>
    </xdr:from>
    <xdr:to>
      <xdr:col>9</xdr:col>
      <xdr:colOff>0</xdr:colOff>
      <xdr:row>42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c16ac35582d4cf7"/>
        </a:graphicData>
      </a:graphic>
    </xdr:graphicFrame>
    <xdr:clientData/>
  </xdr:twoCellAnchor>
  <xdr:twoCellAnchor>
    <xdr:from>
      <xdr:col>9</xdr:col>
      <xdr:colOff>0</xdr:colOff>
      <xdr:row>23</xdr:row>
      <xdr:rowOff>0</xdr:rowOff>
    </xdr:from>
    <xdr:to>
      <xdr:col>18</xdr:col>
      <xdr:colOff>0</xdr:colOff>
      <xdr:row>42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08e789bc9a84ee0"/>
        </a:graphicData>
      </a:graphic>
    </xdr:graphicFrame>
    <xdr:clientData/>
  </xdr:twoCellAnchor>
  <xdr:twoCellAnchor>
    <xdr:from>
      <xdr:col>0</xdr:col>
      <xdr:colOff>0</xdr:colOff>
      <xdr:row>43</xdr:row>
      <xdr:rowOff>0</xdr:rowOff>
    </xdr:from>
    <xdr:to>
      <xdr:col>9</xdr:col>
      <xdr:colOff>0</xdr:colOff>
      <xdr:row>62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f105337e0f440b5"/>
        </a:graphicData>
      </a:graphic>
    </xdr:graphicFrame>
    <xdr:clientData/>
  </xdr:twoCellAnchor>
  <xdr:twoCellAnchor>
    <xdr:from>
      <xdr:col>9</xdr:col>
      <xdr:colOff>0</xdr:colOff>
      <xdr:row>43</xdr:row>
      <xdr:rowOff>0</xdr:rowOff>
    </xdr:from>
    <xdr:to>
      <xdr:col>18</xdr:col>
      <xdr:colOff>0</xdr:colOff>
      <xdr:row>62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b5fcb1b26a84d3d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>
  <xdr:twoCellAnchor>
    <xdr:from>
      <xdr:col>0</xdr:col>
      <xdr:colOff>0</xdr:colOff>
      <xdr:row>23</xdr:row>
      <xdr:rowOff>0</xdr:rowOff>
    </xdr:from>
    <xdr:to>
      <xdr:col>9</xdr:col>
      <xdr:colOff>0</xdr:colOff>
      <xdr:row>42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61856f4db1a4a80"/>
        </a:graphicData>
      </a:graphic>
    </xdr:graphicFrame>
    <xdr:clientData/>
  </xdr:twoCellAnchor>
  <xdr:twoCellAnchor>
    <xdr:from>
      <xdr:col>9</xdr:col>
      <xdr:colOff>0</xdr:colOff>
      <xdr:row>23</xdr:row>
      <xdr:rowOff>0</xdr:rowOff>
    </xdr:from>
    <xdr:to>
      <xdr:col>18</xdr:col>
      <xdr:colOff>0</xdr:colOff>
      <xdr:row>42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a1ca87348b84125"/>
        </a:graphicData>
      </a:graphic>
    </xdr:graphicFrame>
    <xdr:clientData/>
  </xdr:twoCellAnchor>
  <xdr:twoCellAnchor>
    <xdr:from>
      <xdr:col>0</xdr:col>
      <xdr:colOff>0</xdr:colOff>
      <xdr:row>43</xdr:row>
      <xdr:rowOff>0</xdr:rowOff>
    </xdr:from>
    <xdr:to>
      <xdr:col>9</xdr:col>
      <xdr:colOff>0</xdr:colOff>
      <xdr:row>62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4e7c8a082dd423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>
  <xdr:twoCellAnchor>
    <xdr:from>
      <xdr:col>0</xdr:col>
      <xdr:colOff>0</xdr:colOff>
      <xdr:row>23</xdr:row>
      <xdr:rowOff>0</xdr:rowOff>
    </xdr:from>
    <xdr:to>
      <xdr:col>9</xdr:col>
      <xdr:colOff>0</xdr:colOff>
      <xdr:row>42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c3841b278104739"/>
        </a:graphicData>
      </a:graphic>
    </xdr:graphicFrame>
    <xdr:clientData/>
  </xdr:twoCellAnchor>
  <xdr:twoCellAnchor>
    <xdr:from>
      <xdr:col>9</xdr:col>
      <xdr:colOff>0</xdr:colOff>
      <xdr:row>23</xdr:row>
      <xdr:rowOff>0</xdr:rowOff>
    </xdr:from>
    <xdr:to>
      <xdr:col>18</xdr:col>
      <xdr:colOff>0</xdr:colOff>
      <xdr:row>42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b21736ccbd34a83"/>
        </a:graphicData>
      </a:graphic>
    </xdr:graphicFrame>
    <xdr:clientData/>
  </xdr:twoCellAnchor>
  <xdr:twoCellAnchor>
    <xdr:from>
      <xdr:col>0</xdr:col>
      <xdr:colOff>0</xdr:colOff>
      <xdr:row>43</xdr:row>
      <xdr:rowOff>0</xdr:rowOff>
    </xdr:from>
    <xdr:to>
      <xdr:col>9</xdr:col>
      <xdr:colOff>0</xdr:colOff>
      <xdr:row>62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4c0abb0fcbc410e"/>
        </a:graphicData>
      </a:graphic>
    </xdr:graphicFrame>
    <xdr:clientData/>
  </xdr:twoCellAnchor>
  <xdr:twoCellAnchor>
    <xdr:from>
      <xdr:col>9</xdr:col>
      <xdr:colOff>0</xdr:colOff>
      <xdr:row>43</xdr:row>
      <xdr:rowOff>0</xdr:rowOff>
    </xdr:from>
    <xdr:to>
      <xdr:col>18</xdr:col>
      <xdr:colOff>0</xdr:colOff>
      <xdr:row>62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9b2b783b2474818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>
  <xdr:twoCellAnchor>
    <xdr:from>
      <xdr:col>0</xdr:col>
      <xdr:colOff>0</xdr:colOff>
      <xdr:row>23</xdr:row>
      <xdr:rowOff>0</xdr:rowOff>
    </xdr:from>
    <xdr:to>
      <xdr:col>9</xdr:col>
      <xdr:colOff>0</xdr:colOff>
      <xdr:row>42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1f5995fb9694d1e"/>
        </a:graphicData>
      </a:graphic>
    </xdr:graphicFrame>
    <xdr:clientData/>
  </xdr:twoCellAnchor>
  <xdr:twoCellAnchor>
    <xdr:from>
      <xdr:col>9</xdr:col>
      <xdr:colOff>0</xdr:colOff>
      <xdr:row>23</xdr:row>
      <xdr:rowOff>0</xdr:rowOff>
    </xdr:from>
    <xdr:to>
      <xdr:col>18</xdr:col>
      <xdr:colOff>0</xdr:colOff>
      <xdr:row>42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87f31be24184317"/>
        </a:graphicData>
      </a:graphic>
    </xdr:graphicFrame>
    <xdr:clientData/>
  </xdr:twoCellAnchor>
  <xdr:twoCellAnchor>
    <xdr:from>
      <xdr:col>0</xdr:col>
      <xdr:colOff>0</xdr:colOff>
      <xdr:row>43</xdr:row>
      <xdr:rowOff>0</xdr:rowOff>
    </xdr:from>
    <xdr:to>
      <xdr:col>9</xdr:col>
      <xdr:colOff>0</xdr:colOff>
      <xdr:row>62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765db18cc9a4d48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>
  <xdr:twoCellAnchor>
    <xdr:from>
      <xdr:col>0</xdr:col>
      <xdr:colOff>0</xdr:colOff>
      <xdr:row>23</xdr:row>
      <xdr:rowOff>0</xdr:rowOff>
    </xdr:from>
    <xdr:to>
      <xdr:col>9</xdr:col>
      <xdr:colOff>0</xdr:colOff>
      <xdr:row>42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f7e119e9bbf43ef"/>
        </a:graphicData>
      </a:graphic>
    </xdr:graphicFrame>
    <xdr:clientData/>
  </xdr:twoCellAnchor>
  <xdr:twoCellAnchor>
    <xdr:from>
      <xdr:col>9</xdr:col>
      <xdr:colOff>0</xdr:colOff>
      <xdr:row>23</xdr:row>
      <xdr:rowOff>0</xdr:rowOff>
    </xdr:from>
    <xdr:to>
      <xdr:col>18</xdr:col>
      <xdr:colOff>0</xdr:colOff>
      <xdr:row>42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e8e27f4ff644cfb"/>
        </a:graphicData>
      </a:graphic>
    </xdr:graphicFrame>
    <xdr:clientData/>
  </xdr:twoCellAnchor>
  <xdr:twoCellAnchor>
    <xdr:from>
      <xdr:col>0</xdr:col>
      <xdr:colOff>0</xdr:colOff>
      <xdr:row>43</xdr:row>
      <xdr:rowOff>0</xdr:rowOff>
    </xdr:from>
    <xdr:to>
      <xdr:col>9</xdr:col>
      <xdr:colOff>0</xdr:colOff>
      <xdr:row>62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0b40881a73846ff"/>
        </a:graphicData>
      </a:graphic>
    </xdr:graphicFrame>
    <xdr:clientData/>
  </xdr:twoCellAnchor>
  <xdr:twoCellAnchor>
    <xdr:from>
      <xdr:col>9</xdr:col>
      <xdr:colOff>0</xdr:colOff>
      <xdr:row>43</xdr:row>
      <xdr:rowOff>0</xdr:rowOff>
    </xdr:from>
    <xdr:to>
      <xdr:col>18</xdr:col>
      <xdr:colOff>0</xdr:colOff>
      <xdr:row>62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3697b1231fd4844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>
  <xdr:twoCellAnchor>
    <xdr:from>
      <xdr:col>0</xdr:col>
      <xdr:colOff>0</xdr:colOff>
      <xdr:row>23</xdr:row>
      <xdr:rowOff>0</xdr:rowOff>
    </xdr:from>
    <xdr:to>
      <xdr:col>9</xdr:col>
      <xdr:colOff>0</xdr:colOff>
      <xdr:row>42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f71acd8c8b345e6"/>
        </a:graphicData>
      </a:graphic>
    </xdr:graphicFrame>
    <xdr:clientData/>
  </xdr:twoCellAnchor>
  <xdr:twoCellAnchor>
    <xdr:from>
      <xdr:col>9</xdr:col>
      <xdr:colOff>0</xdr:colOff>
      <xdr:row>23</xdr:row>
      <xdr:rowOff>0</xdr:rowOff>
    </xdr:from>
    <xdr:to>
      <xdr:col>18</xdr:col>
      <xdr:colOff>0</xdr:colOff>
      <xdr:row>42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fc48319b30643b8"/>
        </a:graphicData>
      </a:graphic>
    </xdr:graphicFrame>
    <xdr:clientData/>
  </xdr:twoCellAnchor>
  <xdr:twoCellAnchor>
    <xdr:from>
      <xdr:col>0</xdr:col>
      <xdr:colOff>0</xdr:colOff>
      <xdr:row>43</xdr:row>
      <xdr:rowOff>0</xdr:rowOff>
    </xdr:from>
    <xdr:to>
      <xdr:col>9</xdr:col>
      <xdr:colOff>0</xdr:colOff>
      <xdr:row>62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7dea46d00cd44a3"/>
        </a:graphicData>
      </a:graphic>
    </xdr:graphicFrame>
    <xdr:clientData/>
  </xdr:twoCellAnchor>
  <xdr:twoCellAnchor>
    <xdr:from>
      <xdr:col>9</xdr:col>
      <xdr:colOff>0</xdr:colOff>
      <xdr:row>43</xdr:row>
      <xdr:rowOff>0</xdr:rowOff>
    </xdr:from>
    <xdr:to>
      <xdr:col>18</xdr:col>
      <xdr:colOff>0</xdr:colOff>
      <xdr:row>62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829c8ebbc22405f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>
  <xdr:twoCellAnchor>
    <xdr:from>
      <xdr:col>0</xdr:col>
      <xdr:colOff>0</xdr:colOff>
      <xdr:row>23</xdr:row>
      <xdr:rowOff>0</xdr:rowOff>
    </xdr:from>
    <xdr:to>
      <xdr:col>9</xdr:col>
      <xdr:colOff>0</xdr:colOff>
      <xdr:row>42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d3ae8aa5e42473e"/>
        </a:graphicData>
      </a:graphic>
    </xdr:graphicFrame>
    <xdr:clientData/>
  </xdr:twoCellAnchor>
  <xdr:twoCellAnchor>
    <xdr:from>
      <xdr:col>9</xdr:col>
      <xdr:colOff>0</xdr:colOff>
      <xdr:row>23</xdr:row>
      <xdr:rowOff>0</xdr:rowOff>
    </xdr:from>
    <xdr:to>
      <xdr:col>18</xdr:col>
      <xdr:colOff>0</xdr:colOff>
      <xdr:row>42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53d5ac801d14a49"/>
        </a:graphicData>
      </a:graphic>
    </xdr:graphicFrame>
    <xdr:clientData/>
  </xdr:twoCellAnchor>
  <xdr:twoCellAnchor>
    <xdr:from>
      <xdr:col>0</xdr:col>
      <xdr:colOff>0</xdr:colOff>
      <xdr:row>43</xdr:row>
      <xdr:rowOff>0</xdr:rowOff>
    </xdr:from>
    <xdr:to>
      <xdr:col>9</xdr:col>
      <xdr:colOff>0</xdr:colOff>
      <xdr:row>62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62736c9cb344626"/>
        </a:graphicData>
      </a:graphic>
    </xdr:graphicFrame>
    <xdr:clientData/>
  </xdr:twoCellAnchor>
  <xdr:twoCellAnchor>
    <xdr:from>
      <xdr:col>9</xdr:col>
      <xdr:colOff>0</xdr:colOff>
      <xdr:row>43</xdr:row>
      <xdr:rowOff>0</xdr:rowOff>
    </xdr:from>
    <xdr:to>
      <xdr:col>18</xdr:col>
      <xdr:colOff>0</xdr:colOff>
      <xdr:row>62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f84395c8e4b4215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>
  <xdr:twoCellAnchor>
    <xdr:from>
      <xdr:col>0</xdr:col>
      <xdr:colOff>0</xdr:colOff>
      <xdr:row>23</xdr:row>
      <xdr:rowOff>0</xdr:rowOff>
    </xdr:from>
    <xdr:to>
      <xdr:col>9</xdr:col>
      <xdr:colOff>0</xdr:colOff>
      <xdr:row>42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a727517f1964fea"/>
        </a:graphicData>
      </a:graphic>
    </xdr:graphicFrame>
    <xdr:clientData/>
  </xdr:twoCellAnchor>
  <xdr:twoCellAnchor>
    <xdr:from>
      <xdr:col>9</xdr:col>
      <xdr:colOff>0</xdr:colOff>
      <xdr:row>23</xdr:row>
      <xdr:rowOff>0</xdr:rowOff>
    </xdr:from>
    <xdr:to>
      <xdr:col>18</xdr:col>
      <xdr:colOff>0</xdr:colOff>
      <xdr:row>42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9ac89646dd9469b"/>
        </a:graphicData>
      </a:graphic>
    </xdr:graphicFrame>
    <xdr:clientData/>
  </xdr:twoCellAnchor>
  <xdr:twoCellAnchor>
    <xdr:from>
      <xdr:col>0</xdr:col>
      <xdr:colOff>0</xdr:colOff>
      <xdr:row>43</xdr:row>
      <xdr:rowOff>0</xdr:rowOff>
    </xdr:from>
    <xdr:to>
      <xdr:col>9</xdr:col>
      <xdr:colOff>0</xdr:colOff>
      <xdr:row>62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4165c5720f04e16"/>
        </a:graphicData>
      </a:graphic>
    </xdr:graphicFrame>
    <xdr:clientData/>
  </xdr:twoCellAnchor>
  <xdr:twoCellAnchor>
    <xdr:from>
      <xdr:col>9</xdr:col>
      <xdr:colOff>0</xdr:colOff>
      <xdr:row>43</xdr:row>
      <xdr:rowOff>0</xdr:rowOff>
    </xdr:from>
    <xdr:to>
      <xdr:col>18</xdr:col>
      <xdr:colOff>0</xdr:colOff>
      <xdr:row>62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55895de4a644a4d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>
  <xdr:twoCellAnchor>
    <xdr:from>
      <xdr:col>0</xdr:col>
      <xdr:colOff>0</xdr:colOff>
      <xdr:row>23</xdr:row>
      <xdr:rowOff>0</xdr:rowOff>
    </xdr:from>
    <xdr:to>
      <xdr:col>9</xdr:col>
      <xdr:colOff>0</xdr:colOff>
      <xdr:row>42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f18e3c85a9147fc"/>
        </a:graphicData>
      </a:graphic>
    </xdr:graphicFrame>
    <xdr:clientData/>
  </xdr:twoCellAnchor>
  <xdr:twoCellAnchor>
    <xdr:from>
      <xdr:col>9</xdr:col>
      <xdr:colOff>0</xdr:colOff>
      <xdr:row>23</xdr:row>
      <xdr:rowOff>0</xdr:rowOff>
    </xdr:from>
    <xdr:to>
      <xdr:col>18</xdr:col>
      <xdr:colOff>0</xdr:colOff>
      <xdr:row>42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3d9d8ddea554166"/>
        </a:graphicData>
      </a:graphic>
    </xdr:graphicFrame>
    <xdr:clientData/>
  </xdr:twoCellAnchor>
  <xdr:twoCellAnchor>
    <xdr:from>
      <xdr:col>0</xdr:col>
      <xdr:colOff>0</xdr:colOff>
      <xdr:row>43</xdr:row>
      <xdr:rowOff>0</xdr:rowOff>
    </xdr:from>
    <xdr:to>
      <xdr:col>9</xdr:col>
      <xdr:colOff>0</xdr:colOff>
      <xdr:row>62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2cdc08ea34b4982"/>
        </a:graphicData>
      </a:graphic>
    </xdr:graphicFrame>
    <xdr:clientData/>
  </xdr:twoCellAnchor>
  <xdr:twoCellAnchor>
    <xdr:from>
      <xdr:col>9</xdr:col>
      <xdr:colOff>0</xdr:colOff>
      <xdr:row>43</xdr:row>
      <xdr:rowOff>0</xdr:rowOff>
    </xdr:from>
    <xdr:to>
      <xdr:col>18</xdr:col>
      <xdr:colOff>0</xdr:colOff>
      <xdr:row>62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5af193385a24797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>
  <xdr:twoCellAnchor>
    <xdr:from>
      <xdr:col>0</xdr:col>
      <xdr:colOff>0</xdr:colOff>
      <xdr:row>23</xdr:row>
      <xdr:rowOff>0</xdr:rowOff>
    </xdr:from>
    <xdr:to>
      <xdr:col>9</xdr:col>
      <xdr:colOff>0</xdr:colOff>
      <xdr:row>42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0391f7311374ffb"/>
        </a:graphicData>
      </a:graphic>
    </xdr:graphicFrame>
    <xdr:clientData/>
  </xdr:twoCellAnchor>
  <xdr:twoCellAnchor>
    <xdr:from>
      <xdr:col>9</xdr:col>
      <xdr:colOff>0</xdr:colOff>
      <xdr:row>23</xdr:row>
      <xdr:rowOff>0</xdr:rowOff>
    </xdr:from>
    <xdr:to>
      <xdr:col>18</xdr:col>
      <xdr:colOff>0</xdr:colOff>
      <xdr:row>42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6316e04718e42a3"/>
        </a:graphicData>
      </a:graphic>
    </xdr:graphicFrame>
    <xdr:clientData/>
  </xdr:twoCellAnchor>
  <xdr:twoCellAnchor>
    <xdr:from>
      <xdr:col>0</xdr:col>
      <xdr:colOff>0</xdr:colOff>
      <xdr:row>43</xdr:row>
      <xdr:rowOff>0</xdr:rowOff>
    </xdr:from>
    <xdr:to>
      <xdr:col>9</xdr:col>
      <xdr:colOff>0</xdr:colOff>
      <xdr:row>62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cf9784e2d4445c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>
  <xdr:twoCellAnchor>
    <xdr:from>
      <xdr:col>0</xdr:col>
      <xdr:colOff>0</xdr:colOff>
      <xdr:row>23</xdr:row>
      <xdr:rowOff>0</xdr:rowOff>
    </xdr:from>
    <xdr:to>
      <xdr:col>9</xdr:col>
      <xdr:colOff>0</xdr:colOff>
      <xdr:row>42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2b3a5d5b6fb4ae3"/>
        </a:graphicData>
      </a:graphic>
    </xdr:graphicFrame>
    <xdr:clientData/>
  </xdr:twoCellAnchor>
  <xdr:twoCellAnchor>
    <xdr:from>
      <xdr:col>9</xdr:col>
      <xdr:colOff>0</xdr:colOff>
      <xdr:row>23</xdr:row>
      <xdr:rowOff>0</xdr:rowOff>
    </xdr:from>
    <xdr:to>
      <xdr:col>18</xdr:col>
      <xdr:colOff>0</xdr:colOff>
      <xdr:row>42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79dfce0ad69474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73a8b8a4764247d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613d2b2147154d1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308d4b9e1441468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49b66f6e4c0d4ac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2160e141bb89479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e8d7d58648444e5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7.xml" Id="Ref78f38676b944f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8.xml" Id="R7cc3ab342d45402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9.xml" Id="R1f8be2b555e8458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0.xml" Id="R18a13e52cebb435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1.xml" Id="R91ec869389814e9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12.xml" Id="Rb11b48bd8dcc4c47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3.xml" Id="R0927ab8b74714803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drawing" Target="/xl/drawings/drawing14.xml" Id="R359916fbdd604737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5.xml" Id="Re8f0b5edfa5f449c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drawing" Target="/xl/drawings/drawing16.xml" Id="R9c3d15d06ab541dc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7.xml" Id="Rf91ed1ecbcea4946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drawing" Target="/xl/drawings/drawing18.xml" Id="Rbe656d8f16a64bf0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6.880000114440918" hidden="0" customWidth="1"/>
    <x:col min="2" max="2" width="37.5" hidden="0" customWidth="1"/>
    <x:col min="3" max="3" width="81.25" hidden="0" customWidth="1"/>
    <x:col min="4" max="4" width="10.25" hidden="0" customWidth="1"/>
    <x:col min="5" max="5" width="10.25" hidden="0" customWidth="1"/>
    <x:col min="6" max="6" width="10.25" hidden="0" customWidth="1"/>
    <x:col min="7" max="7" width="10.25" hidden="0" customWidth="1"/>
    <x:col min="8" max="8" width="10.25" hidden="0" customWidth="1"/>
    <x:col min="9" max="9" width="10.25" hidden="0" customWidth="1"/>
    <x:col min="10" max="10" width="10.25" hidden="0" customWidth="1"/>
    <x:col min="11" max="11" width="10.25" hidden="0" customWidth="1"/>
    <x:col min="12" max="12" width="10.25" hidden="0" customWidth="1"/>
    <x:col min="13" max="13" width="10.25" hidden="0" customWidth="1"/>
    <x:col min="14" max="14" width="10.25" hidden="0" customWidth="1"/>
    <x:col min="15" max="15" width="10.25" hidden="0" customWidth="1"/>
    <x:col min="16" max="16" width="10.25" hidden="0" customWidth="1"/>
    <x:col min="17" max="17" width="10.25" hidden="0" customWidth="1"/>
    <x:col min="18" max="18" width="10.25" hidden="0" customWidth="1"/>
  </x:cols>
  <x:sheetData>
    <x:row r="1" ht="28" customHeight="1">
      <x:c r="A1" s="2" t="str">
        <x:v>논문 그래프 수치와 편집 차트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 ht="23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</x:row>
    <x:row r="3" ht="42" customHeight="1">
      <x:c r="A3" s="3" t="str">
        <x:v>각 그림 번호의 시트에 수치표와 엑셀 차트가 있습니다.</x:v>
      </x:c>
      <x:c r="B3" s="3"/>
      <x:c r="C3" s="3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</x:row>
    <x:row r="4" ht="42" customHeight="1">
      <x:c r="A4" s="3" t="str">
        <x:v>숫자를 수정하면 연결된 차트가 바뀝니다. 차트를 선택해 복사한 뒤 워드나 한글에 붙여 넣을 수 있습니다.</x:v>
      </x:c>
      <x:c r="B4" s="3"/>
      <x:c r="C4" s="3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</x:row>
    <x:row r="5" ht="42" customHeight="1">
      <x:c r="A5" s="3" t="str">
        <x:v>청년비율은 % 수치이며 청년비율 차이는 %p입니다. 개관연도 제외 행의 빈칸은 0이 아닙니다.</x:v>
      </x:c>
      <x:c r="B5" s="3"/>
      <x:c r="C5" s="3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</x:row>
    <x:row r="6" ht="42" customHeight="1">
      <x:c r="A6" s="3" t="str">
        <x:v>계수는 기존 분석 결과이며 인과효과의 확정값이 아닙니다. 성향점수와 DID 회귀는 이 파일에서 다시 추정하지 않습니다.</x:v>
      </x:c>
      <x:c r="B6" s="3"/>
      <x:c r="C6" s="3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</x:row>
    <x:row r="7" ht="23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</x:row>
    <x:row r="8" ht="64" customHeight="1">
      <x:c r="A8" s="6" t="str">
        <x:v>그림</x:v>
      </x:c>
      <x:c r="B8" s="6" t="str">
        <x:v>시트</x:v>
      </x:c>
      <x:c r="C8" s="6" t="str">
        <x:v>내용</x:v>
      </x:c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</x:row>
    <x:row r="9" ht="23" customHeight="1">
      <x:c r="A9" s="7" t="n">
        <x:v>1</x:v>
      </x:c>
      <x:c r="B9" s="7" t="str">
        <x:v>01_사전특성차이</x:v>
      </x:c>
      <x:c r="C9" s="7" t="str">
        <x:v>매칭 후 사전 특성 차이</x:v>
      </x:c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</x:row>
    <x:row r="10" ht="23" customHeight="1">
      <x:c r="A10" s="7" t="n">
        <x:v>2</x:v>
      </x:c>
      <x:c r="B10" s="7" t="str">
        <x:v>02_문화비축기지_인구청년</x:v>
      </x:c>
      <x:c r="C10" s="7" t="str">
        <x:v>문화비축기지 인구와 청년비율</x:v>
      </x:c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</x:row>
    <x:row r="11" ht="23" customHeight="1">
      <x:c r="A11" s="7" t="n">
        <x:v>3</x:v>
      </x:c>
      <x:c r="B11" s="7" t="str">
        <x:v>03_문화비축기지_연도별격차</x:v>
      </x:c>
      <x:c r="C11" s="7" t="str">
        <x:v>문화비축기지 기준연도 대비 격차</x:v>
      </x:c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</x:row>
    <x:row r="12" ht="23" customHeight="1">
      <x:c r="A12" s="7" t="n">
        <x:v>4</x:v>
      </x:c>
      <x:c r="B12" s="7" t="str">
        <x:v>04_F1963_인구청년</x:v>
      </x:c>
      <x:c r="C12" s="7" t="str">
        <x:v>F1963 인구와 청년비율</x:v>
      </x:c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</x:row>
    <x:row r="13" ht="23" customHeight="1">
      <x:c r="A13" s="7" t="n">
        <x:v>5</x:v>
      </x:c>
      <x:c r="B13" s="7" t="str">
        <x:v>05_F1963_연도별격차</x:v>
      </x:c>
      <x:c r="C13" s="7" t="str">
        <x:v>F1963 기준연도 대비 격차</x:v>
      </x:c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</x:row>
    <x:row r="14" ht="23" customHeight="1">
      <x:c r="A14" s="7" t="n">
        <x:v>6</x:v>
      </x:c>
      <x:c r="B14" s="7" t="str">
        <x:v>06_고색뉴지엄_인구청년</x:v>
      </x:c>
      <x:c r="C14" s="7" t="str">
        <x:v>고색뉴지엄 인구와 청년비율</x:v>
      </x:c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</x:row>
    <x:row r="15" ht="23" customHeight="1">
      <x:c r="A15" s="7" t="n">
        <x:v>7</x:v>
      </x:c>
      <x:c r="B15" s="7" t="str">
        <x:v>07_고색뉴지엄_연도별격차</x:v>
      </x:c>
      <x:c r="C15" s="7" t="str">
        <x:v>고색뉴지엄 기준연도 대비 격차</x:v>
      </x:c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</x:row>
    <x:row r="16" ht="23" customHeight="1">
      <x:c r="A16" s="7" t="n">
        <x:v>8</x:v>
      </x:c>
      <x:c r="B16" s="7" t="str">
        <x:v>08_청주 미술관_인구청년</x:v>
      </x:c>
      <x:c r="C16" s="7" t="str">
        <x:v>국립현대미술관 청주 인구와 청년비율</x:v>
      </x:c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</x:row>
    <x:row r="17" ht="23" customHeight="1">
      <x:c r="A17" s="7" t="n">
        <x:v>9</x:v>
      </x:c>
      <x:c r="B17" s="7" t="str">
        <x:v>09_청주 미술관_연도별격차</x:v>
      </x:c>
      <x:c r="C17" s="7" t="str">
        <x:v>국립현대미술관 청주 기준연도 대비 격차</x:v>
      </x:c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</x:row>
    <x:row r="18" ht="23" customHeight="1">
      <x:c r="A18" s="7" t="n">
        <x:v>10</x:v>
      </x:c>
      <x:c r="B18" s="7" t="str">
        <x:v>10_팔복예술공장_인구청년</x:v>
      </x:c>
      <x:c r="C18" s="7" t="str">
        <x:v>팔복예술공장 인구와 청년비율</x:v>
      </x:c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</x:row>
    <x:row r="19" ht="23" customHeight="1">
      <x:c r="A19" s="7" t="n">
        <x:v>11</x:v>
      </x:c>
      <x:c r="B19" s="7" t="str">
        <x:v>11_팔복예술공장_연도별격차</x:v>
      </x:c>
      <x:c r="C19" s="7" t="str">
        <x:v>팔복예술공장 기준연도 대비 격차</x:v>
      </x:c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</x:row>
    <x:row r="20" ht="23" customHeight="1">
      <x:c r="A20" s="7" t="n">
        <x:v>12</x:v>
      </x:c>
      <x:c r="B20" s="7" t="str">
        <x:v>12_문화비축기지_사업체고용</x:v>
      </x:c>
      <x:c r="C20" s="7" t="str">
        <x:v>문화비축기지 사업체와 종사자</x:v>
      </x:c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</x:row>
    <x:row r="21" ht="23" customHeight="1">
      <x:c r="A21" s="7" t="n">
        <x:v>13</x:v>
      </x:c>
      <x:c r="B21" s="7" t="str">
        <x:v>13_F1963_사업체고용</x:v>
      </x:c>
      <x:c r="C21" s="7" t="str">
        <x:v>F1963 사업체와 종사자</x:v>
      </x:c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</x:row>
    <x:row r="22" ht="23" customHeight="1">
      <x:c r="A22" s="7" t="n">
        <x:v>14</x:v>
      </x:c>
      <x:c r="B22" s="7" t="str">
        <x:v>14_고색뉴지엄_사업체고용</x:v>
      </x:c>
      <x:c r="C22" s="7" t="str">
        <x:v>고색뉴지엄 사업체와 종사자</x:v>
      </x:c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</x:row>
    <x:row r="23" ht="23" customHeight="1">
      <x:c r="A23" s="7" t="n">
        <x:v>15</x:v>
      </x:c>
      <x:c r="B23" s="7" t="str">
        <x:v>15_청주 미술관_사업체고용</x:v>
      </x:c>
      <x:c r="C23" s="7" t="str">
        <x:v>국립현대미술관 청주 사업체와 종사자</x:v>
      </x:c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</x:row>
    <x:row r="24" ht="23" customHeight="1">
      <x:c r="A24" s="7" t="n">
        <x:v>16</x:v>
      </x:c>
      <x:c r="B24" s="7" t="str">
        <x:v>16_팔복예술공장_사업체고용</x:v>
      </x:c>
      <x:c r="C24" s="7" t="str">
        <x:v>팔복예술공장 사업체와 종사자</x:v>
      </x:c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</x:row>
    <x:row r="25" ht="23" customHeight="1">
      <x:c r="A25" s="7" t="n">
        <x:v>17</x:v>
      </x:c>
      <x:c r="B25" s="7" t="str">
        <x:v>17_매칭비율</x:v>
      </x:c>
      <x:c r="C25" s="7" t="str">
        <x:v>매칭비율별 인구와 정주 계수</x:v>
      </x:c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</x:row>
    <x:row r="26" ht="23" customHeight="1">
      <x:c r="A26" s="7" t="n">
        <x:v>18</x:v>
      </x:c>
      <x:c r="B26" s="7" t="str">
        <x:v>18_기간과추세</x:v>
      </x:c>
      <x:c r="C26" s="7" t="str">
        <x:v>분석기간과 사전 추세에 따른 계수</x:v>
      </x:c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</x:row>
    <x:row r="27" ht="23" customHeight="1">
      <x:c r="A27" s="7" t="n">
        <x:v>19</x:v>
      </x:c>
      <x:c r="B27" s="7" t="str">
        <x:v>19_분석실행기록</x:v>
      </x:c>
      <x:c r="C27" s="7" t="str">
        <x:v>실제 실행기록과 계산 검산</x:v>
      </x:c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</x:row>
    <x:row r="30" ht="64" customHeight="1">
      <x:c r="A30" s="1"/>
      <x:c r="B30" s="6" t="str">
        <x:v>출처</x:v>
      </x:c>
      <x:c r="C30" s="6" t="str">
        <x:v>URL</x:v>
      </x:c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</x:row>
    <x:row r="31" ht="58" customHeight="1">
      <x:c r="A31" s="1"/>
      <x:c r="B31" s="8" t="str">
        <x:v>통계청. (2024.9.27). 2023년 전국사업체조사 결과(잠정).</x:v>
      </x:c>
      <x:c r="C31" s="8" t="str">
        <x:v>https://www.kostat.go.kr/boardDownload.es?bid=233&amp;list_no=432931&amp;seq=4</x:v>
      </x:c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</x:row>
    <x:row r="32" ht="58" customHeight="1">
      <x:c r="A32" s="1"/>
      <x:c r="B32" s="8" t="str">
        <x:v>행정안전부. 주민등록인구통계. 연령별 연말인구 및 기존 확보 인구이동 자료.</x:v>
      </x:c>
      <x:c r="C32" s="8" t="str">
        <x:v>https://jumin.mois.go.kr/ageStatMonth.do</x:v>
      </x:c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</x:row>
    <x:row r="33" ht="58" customHeight="1">
      <x:c r="A33" s="1"/>
      <x:c r="B33" s="8" t="str">
        <x:v>통계청 KOSIS 및 해당 지방자치단체. 전국사업체조사와 지역 원표.</x:v>
      </x:c>
      <x:c r="C33" s="8" t="str">
        <x:v>https://kosis.kr/</x:v>
      </x:c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</x:row>
    <x:row r="34" ht="58" customHeight="1">
      <x:c r="A34" s="1"/>
      <x:c r="B34" s="8" t="str">
        <x:v>수원시. (2017.11.30). 고색뉴지엄 개관 관련 보도자료.</x:v>
      </x:c>
      <x:c r="C34" s="8" t="str">
        <x:v>https://www.suwon.go.kr/web/board/BD_board.view.do?bbsCd=1043&amp;seq=20171130164053273</x:v>
      </x:c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</x:row>
    <x:row r="35" ht="58" customHeight="1">
      <x:c r="A35" s="1"/>
      <x:c r="B35" s="8" t="str">
        <x:v>수원시. 구 및 동 설치와 행정구역에 관한 조례의 관련 이력과 별표.</x:v>
      </x:c>
      <x:c r="C35" s="8" t="str">
        <x:v>https://www.law.go.kr/LSW/ordinInfoP.do?ordinSeq=1627377</x:v>
      </x:c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</x:row>
    <x:row r="36" ht="58" customHeight="1">
      <x:c r="A36" s="1"/>
      <x:c r="B36" s="8" t="str">
        <x:v>김제시의회. (2022.2.24). 제257회 제1차 본회의 회의록.</x:v>
      </x:c>
      <x:c r="C36" s="8" t="str">
        <x:v>https://search.gimje.go.kr/user/assem/minute/preView.gimje?command=update&amp;minuteSid=4532</x:v>
      </x:c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</x:row>
    <x:row r="37" ht="58" customHeight="1">
      <x:c r="A37" s="1"/>
      <x:c r="B37" s="8" t="str">
        <x:v>청주시의회. (2019.6.21). 제44회 제1호 도시건설위원회 회의록.</x:v>
      </x:c>
      <x:c r="C37" s="8" t="str">
        <x:v>https://councilrec.cheongju.go.kr/minutes/svc/web/cms/mnts/SvcMntsViewer.php?schSn=1664</x:v>
      </x:c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</x:row>
    <x:row r="38" ht="58" customHeight="1">
      <x:c r="A38" s="1"/>
      <x:c r="B38" s="8" t="str">
        <x:v>수원시. (2016.7.8). 평동 자연재해위험개선지구 정비 완료 보도자료.</x:v>
      </x:c>
      <x:c r="C38" s="8" t="str">
        <x:v>https://www.suwon.go.kr/web/board/BD_board.view.do?bbsCd=1043&amp;seq=20160708104158768</x:v>
      </x:c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</x:row>
    <x:row r="39" ht="58" customHeight="1">
      <x:c r="A39" s="1"/>
      <x:c r="B39" s="8" t="str">
        <x:v>수원시. (2020.7.7). 수인선 개통 관련 보도자료.</x:v>
      </x:c>
      <x:c r="C39" s="8" t="str">
        <x:v>https://www.suwon.go.kr/web/board/BD_board.view.do?bbsCd=1043&amp;seq=20200707180340403</x:v>
      </x:c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</x:row>
    <x:row r="40" ht="58" customHeight="1">
      <x:c r="A40" s="1"/>
      <x:c r="B40" s="8" t="str">
        <x:v>수원시 공식 뉴스. (2020.9). 수인선 전 구간 개통 보도.</x:v>
      </x:c>
      <x:c r="C40" s="8" t="str">
        <x:v>https://news.suwon.go.kr/_Ext/news/viewPrint.php?reqIdx=202009141015246727</x:v>
      </x:c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</x:row>
    <x:row r="41" ht="58" customHeight="1">
      <x:c r="A41" s="1"/>
      <x:c r="B41" s="8" t="str">
        <x:v>한국관광공사. 관광데이터랩. 기존 다운로드 자료의 제공 범위.</x:v>
      </x:c>
      <x:c r="C41" s="8" t="str">
        <x:v>https://datalab.visitkorea.or.kr/</x:v>
      </x:c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</x:row>
    <x:row r="42" ht="58" customHeight="1">
      <x:c r="A42" s="1"/>
      <x:c r="B42" s="3"/>
      <x:c r="C42" s="3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</x:row>
    <x:row r="43" ht="58" customHeight="1">
      <x:c r="A43" s="1"/>
      <x:c r="B43" s="3"/>
      <x:c r="C43" s="3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</x:row>
    <x:row r="44" ht="58" customHeight="1">
      <x:c r="A44" s="1"/>
      <x:c r="B44" s="3"/>
      <x:c r="C44" s="3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</x:row>
  </x:sheetData>
  <x:mergeCells>
    <x:mergeCell ref="A3:C3"/>
    <x:mergeCell ref="A4:C4"/>
    <x:mergeCell ref="A5:C5"/>
    <x:mergeCell ref="A6:C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9.3799991607666" hidden="0" customWidth="1"/>
    <x:col min="2" max="2" width="10.25" hidden="0" customWidth="1"/>
    <x:col min="3" max="3" width="10.25" hidden="0" customWidth="1"/>
    <x:col min="4" max="4" width="10.25" hidden="0" customWidth="1"/>
    <x:col min="5" max="5" width="10.25" hidden="0" customWidth="1"/>
    <x:col min="6" max="6" width="10.25" hidden="0" customWidth="1"/>
    <x:col min="7" max="7" width="10.25" hidden="0" customWidth="1"/>
    <x:col min="8" max="8" width="10.25" hidden="0" customWidth="1"/>
    <x:col min="9" max="9" width="10.25" hidden="0" customWidth="1"/>
    <x:col min="10" max="10" width="10.25" hidden="0" customWidth="1"/>
    <x:col min="11" max="11" width="10.25" hidden="0" customWidth="1"/>
    <x:col min="12" max="12" width="10.25" hidden="0" customWidth="1"/>
    <x:col min="13" max="13" width="10.25" hidden="0" customWidth="1"/>
    <x:col min="14" max="14" width="10.25" hidden="0" customWidth="1"/>
    <x:col min="15" max="15" width="10.25" hidden="0" customWidth="1"/>
    <x:col min="16" max="16" width="10.25" hidden="0" customWidth="1"/>
    <x:col min="17" max="17" width="10.25" hidden="0" customWidth="1"/>
    <x:col min="18" max="18" width="10.25" hidden="0" customWidth="1"/>
  </x:cols>
  <x:sheetData>
    <x:row r="1" ht="28" customHeight="1">
      <x:c r="A1" s="2" t="str">
        <x:v>그림 1 매칭 후 사전 특성 차이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 ht="23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</x:row>
    <x:row r="3" ht="32" customHeight="1">
      <x:c r="A3" s="3" t="str">
        <x:v>수치 출처 공변량_균형.csv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</x:row>
    <x:row r="5" ht="23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</x:row>
    <x:row r="6" ht="64" customHeight="1">
      <x:c r="A6" s="6" t="str">
        <x:v>사전 변수</x:v>
      </x:c>
      <x:c r="B6" s="6" t="str">
        <x:v>문화비축기지</x:v>
      </x:c>
      <x:c r="C6" s="6" t="str">
        <x:v>F1963</x:v>
      </x:c>
      <x:c r="D6" s="6" t="str">
        <x:v>고색뉴지엄</x:v>
      </x:c>
      <x:c r="E6" s="6" t="str">
        <x:v>청주 미술관</x:v>
      </x:c>
      <x:c r="F6" s="6" t="str">
        <x:v>팔복예술공장</x:v>
      </x:c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</x:row>
    <x:row r="7" ht="23" customHeight="1">
      <x:c r="A7" s="7" t="str">
        <x:v>로그 인구</x:v>
      </x:c>
      <x:c r="B7" s="9" t="n">
        <x:v>0.6471417654338604</x:v>
      </x:c>
      <x:c r="C7" s="9" t="n">
        <x:v>-0.2015199320832449</x:v>
      </x:c>
      <x:c r="D7" s="9" t="n">
        <x:v>0.8439183846007514</x:v>
      </x:c>
      <x:c r="E7" s="9" t="n">
        <x:v>0.3484077377197919</x:v>
      </x:c>
      <x:c r="F7" s="9" t="n">
        <x:v>-0.731985050193741</x:v>
      </x:c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</x:row>
    <x:row r="8" ht="23" customHeight="1">
      <x:c r="A8" s="7" t="str">
        <x:v>청년비율</x:v>
      </x:c>
      <x:c r="B8" s="9" t="n">
        <x:v>-0.5981862708698336</x:v>
      </x:c>
      <x:c r="C8" s="9" t="n">
        <x:v>-0.738151956869384</x:v>
      </x:c>
      <x:c r="D8" s="9" t="n">
        <x:v>1.1286690893362743</x:v>
      </x:c>
      <x:c r="E8" s="9" t="n">
        <x:v>0.0623160550591886</x:v>
      </x:c>
      <x:c r="F8" s="9" t="n">
        <x:v>0.7785661419491465</x:v>
      </x:c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</x:row>
    <x:row r="9" ht="23" customHeight="1">
      <x:c r="A9" s="7" t="str">
        <x:v>로그(1+사업체)</x:v>
      </x:c>
      <x:c r="B9" s="9" t="n">
        <x:v>-0.519219684654896</x:v>
      </x:c>
      <x:c r="C9" s="9" t="n">
        <x:v>-0.766092878853383</x:v>
      </x:c>
      <x:c r="D9" s="9" t="n">
        <x:v>1.344996212323698</x:v>
      </x:c>
      <x:c r="E9" s="9" t="n">
        <x:v>0.4330462691281875</x:v>
      </x:c>
      <x:c r="F9" s="9" t="n">
        <x:v>0.2035338967600231</x:v>
      </x:c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</x:row>
    <x:row r="10" ht="23" customHeight="1">
      <x:c r="A10" s="7" t="str">
        <x:v>로그(1+종사자)</x:v>
      </x:c>
      <x:c r="B10" s="9" t="n">
        <x:v>0.1697825787941355</x:v>
      </x:c>
      <x:c r="C10" s="9" t="n">
        <x:v>-0.8086456364561032</x:v>
      </x:c>
      <x:c r="D10" s="9" t="n">
        <x:v>1.5314885759406025</x:v>
      </x:c>
      <x:c r="E10" s="9" t="n">
        <x:v>0.4107124981541881</x:v>
      </x:c>
      <x:c r="F10" s="9" t="n">
        <x:v>0.5237882106879437</x:v>
      </x:c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</x:row>
    <x:row r="11" ht="23" customHeight="1">
      <x:c r="A11" s="7" t="str">
        <x:v>상업 비중</x:v>
      </x:c>
      <x:c r="B11" s="9" t="n">
        <x:v>1.2862360115445608</x:v>
      </x:c>
      <x:c r="C11" s="9" t="n">
        <x:v>-0.2776197447701676</x:v>
      </x:c>
      <x:c r="D11" s="9" t="n">
        <x:v>-0.2871675412523808</x:v>
      </x:c>
      <x:c r="E11" s="9" t="n">
        <x:v>-0.5539745297526532</x:v>
      </x:c>
      <x:c r="F11" s="9" t="n">
        <x:v>-0.772177421037146</x:v>
      </x:c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</x:row>
    <x:row r="12" ht="23" customHeight="1">
      <x:c r="A12" s="7" t="str">
        <x:v>제조업 사업체 비중</x:v>
      </x:c>
      <x:c r="B12" s="9" t="n">
        <x:v>-0.9519871874279502</x:v>
      </x:c>
      <x:c r="C12" s="9" t="n">
        <x:v>0.0659142720930794</x:v>
      </x:c>
      <x:c r="D12" s="9" t="n">
        <x:v>-1.1685586088649245</x:v>
      </x:c>
      <x:c r="E12" s="9" t="n">
        <x:v>-0.182163825186089</x:v>
      </x:c>
      <x:c r="F12" s="9" t="n">
        <x:v>1.8191503961685769</x:v>
      </x:c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</x:row>
    <x:row r="13" ht="23" customHeight="1">
      <x:c r="A13" s="7" t="str">
        <x:v>제조업 종사자 비중</x:v>
      </x:c>
      <x:c r="B13" s="9" t="n">
        <x:v>-1.7101425711373732</x:v>
      </x:c>
      <x:c r="C13" s="9" t="n">
        <x:v>0.2391232425742606</x:v>
      </x:c>
      <x:c r="D13" s="9" t="n">
        <x:v>-0.2577293819761117</x:v>
      </x:c>
      <x:c r="E13" s="9" t="n">
        <x:v>-0.433040554726938</x:v>
      </x:c>
      <x:c r="F13" s="9" t="n">
        <x:v>1.3005774896021534</x:v>
      </x:c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</x:row>
    <x:row r="14" ht="2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</x:row>
    <x:row r="15" ht="2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</x:row>
    <x:row r="17" ht="64" customHeight="1">
      <x:c r="A17" s="6" t="str">
        <x:v>사전 변수</x:v>
      </x:c>
      <x:c r="B17" s="6" t="str">
        <x:v>문화비축기지</x:v>
      </x:c>
      <x:c r="C17" s="6" t="str">
        <x:v>F1963</x:v>
      </x:c>
      <x:c r="D17" s="6" t="str">
        <x:v>고색뉴지엄</x:v>
      </x:c>
      <x:c r="E17" s="6" t="str">
        <x:v>청주 미술관</x:v>
      </x:c>
      <x:c r="F17" s="6" t="str">
        <x:v>팔복예술공장</x:v>
      </x:c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</x:row>
    <x:row r="18" ht="23" customHeight="1">
      <x:c r="A18" s="7" t="str">
        <x:v>로그 인구</x:v>
      </x:c>
      <x:c r="B18" s="9" t="n">
        <x:f>ABS(B7)</x:f>
        <x:v>0.6471417654338604</x:v>
      </x:c>
      <x:c r="C18" s="9" t="n">
        <x:f>ABS(C7)</x:f>
        <x:v>0.2015199320832449</x:v>
      </x:c>
      <x:c r="D18" s="9" t="n">
        <x:f>ABS(D7)</x:f>
        <x:v>0.8439183846007514</x:v>
      </x:c>
      <x:c r="E18" s="9" t="n">
        <x:f>ABS(E7)</x:f>
        <x:v>0.3484077377197919</x:v>
      </x:c>
      <x:c r="F18" s="9" t="n">
        <x:f>ABS(F7)</x:f>
        <x:v>0.731985050193741</x:v>
      </x:c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</x:row>
    <x:row r="19" ht="23" customHeight="1">
      <x:c r="A19" s="7" t="str">
        <x:v>청년비율</x:v>
      </x:c>
      <x:c r="B19" s="9" t="n">
        <x:f>ABS(B8)</x:f>
        <x:v>0.5981862708698336</x:v>
      </x:c>
      <x:c r="C19" s="9" t="n">
        <x:f>ABS(C8)</x:f>
        <x:v>0.738151956869384</x:v>
      </x:c>
      <x:c r="D19" s="9" t="n">
        <x:f>ABS(D8)</x:f>
        <x:v>1.1286690893362743</x:v>
      </x:c>
      <x:c r="E19" s="9" t="n">
        <x:f>ABS(E8)</x:f>
        <x:v>0.0623160550591886</x:v>
      </x:c>
      <x:c r="F19" s="9" t="n">
        <x:f>ABS(F8)</x:f>
        <x:v>0.7785661419491465</x:v>
      </x:c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</x:row>
    <x:row r="20" ht="23" customHeight="1">
      <x:c r="A20" s="7" t="str">
        <x:v>로그(1+사업체)</x:v>
      </x:c>
      <x:c r="B20" s="9" t="n">
        <x:f>ABS(B9)</x:f>
        <x:v>0.519219684654896</x:v>
      </x:c>
      <x:c r="C20" s="9" t="n">
        <x:f>ABS(C9)</x:f>
        <x:v>0.766092878853383</x:v>
      </x:c>
      <x:c r="D20" s="9" t="n">
        <x:f>ABS(D9)</x:f>
        <x:v>1.344996212323698</x:v>
      </x:c>
      <x:c r="E20" s="9" t="n">
        <x:f>ABS(E9)</x:f>
        <x:v>0.4330462691281875</x:v>
      </x:c>
      <x:c r="F20" s="9" t="n">
        <x:f>ABS(F9)</x:f>
        <x:v>0.2035338967600231</x:v>
      </x:c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</x:row>
    <x:row r="21" ht="23" customHeight="1">
      <x:c r="A21" s="7" t="str">
        <x:v>로그(1+종사자)</x:v>
      </x:c>
      <x:c r="B21" s="9" t="n">
        <x:f>ABS(B10)</x:f>
        <x:v>0.1697825787941355</x:v>
      </x:c>
      <x:c r="C21" s="9" t="n">
        <x:f>ABS(C10)</x:f>
        <x:v>0.8086456364561032</x:v>
      </x:c>
      <x:c r="D21" s="9" t="n">
        <x:f>ABS(D10)</x:f>
        <x:v>1.5314885759406025</x:v>
      </x:c>
      <x:c r="E21" s="9" t="n">
        <x:f>ABS(E10)</x:f>
        <x:v>0.4107124981541881</x:v>
      </x:c>
      <x:c r="F21" s="9" t="n">
        <x:f>ABS(F10)</x:f>
        <x:v>0.5237882106879437</x:v>
      </x:c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</x:row>
    <x:row r="22" ht="23" customHeight="1">
      <x:c r="A22" s="7" t="str">
        <x:v>상업 비중</x:v>
      </x:c>
      <x:c r="B22" s="9" t="n">
        <x:f>ABS(B11)</x:f>
        <x:v>1.2862360115445608</x:v>
      </x:c>
      <x:c r="C22" s="9" t="n">
        <x:f>ABS(C11)</x:f>
        <x:v>0.2776197447701676</x:v>
      </x:c>
      <x:c r="D22" s="9" t="n">
        <x:f>ABS(D11)</x:f>
        <x:v>0.2871675412523808</x:v>
      </x:c>
      <x:c r="E22" s="9" t="n">
        <x:f>ABS(E11)</x:f>
        <x:v>0.5539745297526532</x:v>
      </x:c>
      <x:c r="F22" s="9" t="n">
        <x:f>ABS(F11)</x:f>
        <x:v>0.772177421037146</x:v>
      </x:c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</x:row>
    <x:row r="23" ht="23" customHeight="1">
      <x:c r="A23" s="7" t="str">
        <x:v>제조업 사업체 비중</x:v>
      </x:c>
      <x:c r="B23" s="9" t="n">
        <x:f>ABS(B12)</x:f>
        <x:v>0.9519871874279502</x:v>
      </x:c>
      <x:c r="C23" s="9" t="n">
        <x:f>ABS(C12)</x:f>
        <x:v>0.0659142720930794</x:v>
      </x:c>
      <x:c r="D23" s="9" t="n">
        <x:f>ABS(D12)</x:f>
        <x:v>1.1685586088649245</x:v>
      </x:c>
      <x:c r="E23" s="9" t="n">
        <x:f>ABS(E12)</x:f>
        <x:v>0.182163825186089</x:v>
      </x:c>
      <x:c r="F23" s="9" t="n">
        <x:f>ABS(F12)</x:f>
        <x:v>1.8191503961685769</x:v>
      </x:c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</x:row>
    <x:row r="24" ht="23" customHeight="1">
      <x:c r="A24" s="7" t="str">
        <x:v>제조업 종사자 비중</x:v>
      </x:c>
      <x:c r="B24" s="9" t="n">
        <x:f>ABS(B13)</x:f>
        <x:v>1.7101425711373732</x:v>
      </x:c>
      <x:c r="C24" s="9" t="n">
        <x:f>ABS(C13)</x:f>
        <x:v>0.2391232425742606</x:v>
      </x:c>
      <x:c r="D24" s="9" t="n">
        <x:f>ABS(D13)</x:f>
        <x:v>0.2577293819761117</x:v>
      </x:c>
      <x:c r="E24" s="9" t="n">
        <x:f>ABS(E13)</x:f>
        <x:v>0.433040554726938</x:v>
      </x:c>
      <x:c r="F24" s="9" t="n">
        <x:f>ABS(F13)</x:f>
        <x:v>1.3005774896021534</x:v>
      </x:c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</x:row>
    <x:row r="26" ht="32" customHeight="1">
      <x:c r="A26" s="3" t="str">
        <x:v>절대값의 분모는 동일 시도 내 사전자료가 완비되고 위험 제외를 거친 비처치 후보군의 표준편차입니다.</x:v>
      </x:c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</x:row>
    <x:row r="49" ht="2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</x:row>
    <x:row r="51" ht="2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</x:row>
    <x:row r="56" ht="2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</x:row>
    <x:row r="57" ht="2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</x:row>
    <x:row r="58" ht="2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</x:row>
    <x:row r="59" ht="2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</x:row>
    <x:row r="60" ht="2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</x:row>
    <x:row r="61" ht="2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</x:row>
    <x:row r="62" ht="2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</x:row>
    <x:row r="63" ht="2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</x:row>
    <x:row r="64" ht="2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</x:row>
    <x:row r="65" ht="2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</x:row>
    <x:row r="66" ht="2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</x:row>
    <x:row r="67" ht="23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</x:row>
    <x:row r="68" ht="23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</x:row>
  </x:sheetData>
  <x:mergeCells>
    <x:mergeCell ref="A3:R3"/>
    <x:mergeCell ref="A26:R26"/>
  </x:mergeCells>
  <x:pageMargins left="0.7" right="0.7" top="0.75" bottom="0.75" header="0.3" footer="0.3"/>
  <x:drawing xmlns:r="http://schemas.openxmlformats.org/officeDocument/2006/relationships" r:id="R73a8b8a4764247df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0.25" hidden="0" customWidth="1"/>
    <x:col min="2" max="2" width="10.25" hidden="0" customWidth="1"/>
    <x:col min="3" max="3" width="10.25" hidden="0" customWidth="1"/>
    <x:col min="4" max="4" width="10.25" hidden="0" customWidth="1"/>
    <x:col min="5" max="5" width="10.25" hidden="0" customWidth="1"/>
    <x:col min="6" max="6" width="10.25" hidden="0" customWidth="1"/>
    <x:col min="7" max="7" width="10.25" hidden="0" customWidth="1"/>
    <x:col min="8" max="8" width="10.25" hidden="0" customWidth="1"/>
    <x:col min="9" max="9" width="10.25" hidden="0" customWidth="1"/>
    <x:col min="10" max="10" width="10.25" hidden="0" customWidth="1"/>
    <x:col min="11" max="11" width="10.25" hidden="0" customWidth="1"/>
    <x:col min="12" max="12" width="10.25" hidden="0" customWidth="1"/>
    <x:col min="13" max="13" width="10.25" hidden="0" customWidth="1"/>
    <x:col min="14" max="14" width="10.25" hidden="0" customWidth="1"/>
    <x:col min="15" max="15" width="10.25" hidden="0" customWidth="1"/>
    <x:col min="16" max="16" width="10.25" hidden="0" customWidth="1"/>
    <x:col min="17" max="17" width="10.25" hidden="0" customWidth="1"/>
    <x:col min="18" max="18" width="10.25" hidden="0" customWidth="1"/>
  </x:cols>
  <x:sheetData>
    <x:row r="1" ht="28" customHeight="1">
      <x:c r="A1" s="2" t="str">
        <x:v>그림 2 문화비축기지 인구와 청년비율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 ht="23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</x:row>
    <x:row r="3" ht="32" customHeight="1">
      <x:c r="A3" s="3" t="str">
        <x:v>수치 출처 그림_연도별처치비교값.csv / 문화비축기지 / 개관 2017년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</x:row>
    <x:row r="5" ht="23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</x:row>
    <x:row r="6" ht="64" customHeight="1">
      <x:c r="A6" s="6" t="str">
        <x:v>연도</x:v>
      </x:c>
      <x:c r="B6" s="6" t="str">
        <x:v>구분</x:v>
      </x:c>
      <x:c r="C6" s="6" t="str">
        <x:v>처치 인구(명)</x:v>
      </x:c>
      <x:c r="D6" s="6" t="str">
        <x:v>비교 인구(명)</x:v>
      </x:c>
      <x:c r="E6" s="6" t="str">
        <x:v>처치 청년(%)</x:v>
      </x:c>
      <x:c r="F6" s="6" t="str">
        <x:v>비교 청년(%)</x:v>
      </x:c>
      <x:c r="G6" s="1"/>
      <x:c r="H6" s="6" t="str">
        <x:v>연도</x:v>
      </x:c>
      <x:c r="I6" s="6" t="str">
        <x:v>처치 인구지수</x:v>
      </x:c>
      <x:c r="J6" s="6" t="str">
        <x:v>비교 인구지수</x:v>
      </x:c>
      <x:c r="K6" s="6" t="str">
        <x:v>처치 청년변화</x:v>
      </x:c>
      <x:c r="L6" s="6" t="str">
        <x:v>비교 청년변화</x:v>
      </x:c>
      <x:c r="M6" s="1"/>
      <x:c r="N6" s="1"/>
      <x:c r="O6" s="1"/>
      <x:c r="P6" s="1"/>
      <x:c r="Q6" s="1"/>
      <x:c r="R6" s="1"/>
    </x:row>
    <x:row r="7" ht="23" customHeight="1">
      <x:c r="A7" s="10" t="n">
        <x:v>2012</x:v>
      </x:c>
      <x:c r="B7" s="7" t="str">
        <x:v>사전</x:v>
      </x:c>
      <x:c r="C7" s="11" t="n">
        <x:v>40789</x:v>
      </x:c>
      <x:c r="D7" s="11" t="n">
        <x:v>30540</x:v>
      </x:c>
      <x:c r="E7" s="9" t="n">
        <x:v>21.6651548211528</x:v>
      </x:c>
      <x:c r="F7" s="9" t="n">
        <x:v>24.2919204595398</x:v>
      </x:c>
      <x:c r="G7" s="1"/>
      <x:c r="H7" s="10" t="n">
        <x:v>2012</x:v>
      </x:c>
      <x:c r="I7" s="12" t="n">
        <x:f>C7/$C$7*100</x:f>
        <x:v>100</x:v>
      </x:c>
      <x:c r="J7" s="12" t="n">
        <x:f>D7/$D$7*100</x:f>
        <x:v>100</x:v>
      </x:c>
      <x:c r="K7" s="9" t="n">
        <x:f>E7-$E$7</x:f>
        <x:v>0</x:v>
      </x:c>
      <x:c r="L7" s="9" t="n">
        <x:f>F7-$F$7</x:f>
        <x:v>0</x:v>
      </x:c>
      <x:c r="M7" s="1"/>
      <x:c r="N7" s="1"/>
      <x:c r="O7" s="1"/>
      <x:c r="P7" s="1"/>
      <x:c r="Q7" s="1"/>
      <x:c r="R7" s="1"/>
    </x:row>
    <x:row r="8" ht="23" customHeight="1">
      <x:c r="A8" s="10" t="n">
        <x:v>2013</x:v>
      </x:c>
      <x:c r="B8" s="7" t="str">
        <x:v>사전</x:v>
      </x:c>
      <x:c r="C8" s="11" t="n">
        <x:v>40623</x:v>
      </x:c>
      <x:c r="D8" s="11" t="n">
        <x:v>30107.6666666667</x:v>
      </x:c>
      <x:c r="E8" s="9" t="n">
        <x:v>21.8176894862516</x:v>
      </x:c>
      <x:c r="F8" s="9" t="n">
        <x:v>24.0470983735557</x:v>
      </x:c>
      <x:c r="G8" s="1"/>
      <x:c r="H8" s="10" t="n">
        <x:v>2013</x:v>
      </x:c>
      <x:c r="I8" s="12" t="n">
        <x:f>C8/$C$7*100</x:f>
        <x:v>99.59302753193263</x:v>
      </x:c>
      <x:c r="J8" s="12" t="n">
        <x:f>D8/$D$7*100</x:f>
        <x:v>98.58437022484185</x:v>
      </x:c>
      <x:c r="K8" s="9" t="n">
        <x:f>E8-$E$7</x:f>
        <x:v>0.15253466509879843</x:v>
      </x:c>
      <x:c r="L8" s="9" t="n">
        <x:f>F8-$F$7</x:f>
        <x:v>-0.24482208598410082</x:v>
      </x:c>
      <x:c r="M8" s="1"/>
      <x:c r="N8" s="1"/>
      <x:c r="O8" s="1"/>
      <x:c r="P8" s="1"/>
      <x:c r="Q8" s="1"/>
      <x:c r="R8" s="1"/>
    </x:row>
    <x:row r="9" ht="23" customHeight="1">
      <x:c r="A9" s="10" t="n">
        <x:v>2014</x:v>
      </x:c>
      <x:c r="B9" s="7" t="str">
        <x:v>사전</x:v>
      </x:c>
      <x:c r="C9" s="11" t="n">
        <x:v>40275</x:v>
      </x:c>
      <x:c r="D9" s="11" t="n">
        <x:v>29480.6666666667</x:v>
      </x:c>
      <x:c r="E9" s="9" t="n">
        <x:v>22.0782122905028</x:v>
      </x:c>
      <x:c r="F9" s="9" t="n">
        <x:v>23.9621408711039</x:v>
      </x:c>
      <x:c r="G9" s="1"/>
      <x:c r="H9" s="10" t="n">
        <x:v>2014</x:v>
      </x:c>
      <x:c r="I9" s="12" t="n">
        <x:f>C9/$C$7*100</x:f>
        <x:v>98.7398563338155</x:v>
      </x:c>
      <x:c r="J9" s="12" t="n">
        <x:f>D9/$D$7*100</x:f>
        <x:v>96.53132503820137</x:v>
      </x:c>
      <x:c r="K9" s="9" t="n">
        <x:f>E9-$E$7</x:f>
        <x:v>0.41305746935000087</x:v>
      </x:c>
      <x:c r="L9" s="9" t="n">
        <x:f>F9-$F$7</x:f>
        <x:v>-0.3297795884358976</x:v>
      </x:c>
      <x:c r="M9" s="1"/>
      <x:c r="N9" s="1"/>
      <x:c r="O9" s="1"/>
      <x:c r="P9" s="1"/>
      <x:c r="Q9" s="1"/>
      <x:c r="R9" s="1"/>
    </x:row>
    <x:row r="10" ht="23" customHeight="1">
      <x:c r="A10" s="10" t="n">
        <x:v>2015</x:v>
      </x:c>
      <x:c r="B10" s="7" t="str">
        <x:v>사전</x:v>
      </x:c>
      <x:c r="C10" s="11" t="n">
        <x:v>40062</x:v>
      </x:c>
      <x:c r="D10" s="11" t="n">
        <x:v>29262.6666666667</x:v>
      </x:c>
      <x:c r="E10" s="9" t="n">
        <x:v>22.325395636763</x:v>
      </x:c>
      <x:c r="F10" s="9" t="n">
        <x:v>23.5550190283667</x:v>
      </x:c>
      <x:c r="G10" s="1"/>
      <x:c r="H10" s="10" t="n">
        <x:v>2015</x:v>
      </x:c>
      <x:c r="I10" s="12" t="n">
        <x:f>C10/$C$7*100</x:f>
        <x:v>98.21765672117483</x:v>
      </x:c>
      <x:c r="J10" s="12" t="n">
        <x:f>D10/$D$7*100</x:f>
        <x:v>95.81750709452096</x:v>
      </x:c>
      <x:c r="K10" s="9" t="n">
        <x:f>E10-$E$7</x:f>
        <x:v>0.6602408156102015</x:v>
      </x:c>
      <x:c r="L10" s="9" t="n">
        <x:f>F10-$F$7</x:f>
        <x:v>-0.7369014311730986</x:v>
      </x:c>
      <x:c r="M10" s="1"/>
      <x:c r="N10" s="1"/>
      <x:c r="O10" s="1"/>
      <x:c r="P10" s="1"/>
      <x:c r="Q10" s="1"/>
      <x:c r="R10" s="1"/>
    </x:row>
    <x:row r="11" ht="23" customHeight="1">
      <x:c r="A11" s="10" t="n">
        <x:v>2016</x:v>
      </x:c>
      <x:c r="B11" s="7" t="str">
        <x:v>사전</x:v>
      </x:c>
      <x:c r="C11" s="11" t="n">
        <x:v>39984</x:v>
      </x:c>
      <x:c r="D11" s="11" t="n">
        <x:v>28900.6666666667</x:v>
      </x:c>
      <x:c r="E11" s="9" t="n">
        <x:v>22.5115046018407</x:v>
      </x:c>
      <x:c r="F11" s="9" t="n">
        <x:v>22.9920421998773</x:v>
      </x:c>
      <x:c r="G11" s="1"/>
      <x:c r="H11" s="10" t="n">
        <x:v>2016</x:v>
      </x:c>
      <x:c r="I11" s="12" t="n">
        <x:f>C11/$C$7*100</x:f>
        <x:v>98.02642869401063</x:v>
      </x:c>
      <x:c r="J11" s="12" t="n">
        <x:f>D11/$D$7*100</x:f>
        <x:v>94.63217638070302</x:v>
      </x:c>
      <x:c r="K11" s="9" t="n">
        <x:f>E11-$E$7</x:f>
        <x:v>0.8463497806878983</x:v>
      </x:c>
      <x:c r="L11" s="9" t="n">
        <x:f>F11-$F$7</x:f>
        <x:v>-1.2998782596624991</x:v>
      </x:c>
      <x:c r="M11" s="1"/>
      <x:c r="N11" s="1"/>
      <x:c r="O11" s="1"/>
      <x:c r="P11" s="1"/>
      <x:c r="Q11" s="1"/>
      <x:c r="R11" s="1"/>
    </x:row>
    <x:row r="12" ht="23" customHeight="1">
      <x:c r="A12" s="10" t="n">
        <x:v>2017</x:v>
      </x:c>
      <x:c r="B12" s="7" t="str">
        <x:v>개관연도 제외</x:v>
      </x:c>
      <x:c r="C12" s="11"/>
      <x:c r="D12" s="11"/>
      <x:c r="E12" s="9"/>
      <x:c r="F12" s="9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</x:row>
    <x:row r="13" ht="23" customHeight="1">
      <x:c r="A13" s="10" t="n">
        <x:v>2018</x:v>
      </x:c>
      <x:c r="B13" s="7" t="str">
        <x:v>사후</x:v>
      </x:c>
      <x:c r="C13" s="11" t="n">
        <x:v>41478</x:v>
      </x:c>
      <x:c r="D13" s="11" t="n">
        <x:v>29617.3333333333</x:v>
      </x:c>
      <x:c r="E13" s="9" t="n">
        <x:v>25.3025700371281</x:v>
      </x:c>
      <x:c r="F13" s="9" t="n">
        <x:v>22.0505325153618</x:v>
      </x:c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</x:row>
    <x:row r="14" ht="23" customHeight="1">
      <x:c r="A14" s="10" t="n">
        <x:v>2019</x:v>
      </x:c>
      <x:c r="B14" s="7" t="str">
        <x:v>사후</x:v>
      </x:c>
      <x:c r="C14" s="11" t="n">
        <x:v>41236</x:v>
      </x:c>
      <x:c r="D14" s="11" t="n">
        <x:v>29316.3333333333</x:v>
      </x:c>
      <x:c r="E14" s="9" t="n">
        <x:v>26.1616063633718</x:v>
      </x:c>
      <x:c r="F14" s="9" t="n">
        <x:v>21.9108113453121</x:v>
      </x:c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</x:row>
    <x:row r="15" ht="23" customHeight="1">
      <x:c r="A15" s="10" t="n">
        <x:v>2020</x:v>
      </x:c>
      <x:c r="B15" s="7" t="str">
        <x:v>사후</x:v>
      </x:c>
      <x:c r="C15" s="11" t="n">
        <x:v>40355</x:v>
      </x:c>
      <x:c r="D15" s="11" t="n">
        <x:v>28454</x:v>
      </x:c>
      <x:c r="E15" s="9" t="n">
        <x:v>26.4527320034692</x:v>
      </x:c>
      <x:c r="F15" s="9" t="n">
        <x:v>21.6444312128749</x:v>
      </x:c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</x:row>
    <x:row r="16" ht="23" customHeight="1">
      <x:c r="A16" s="10" t="n">
        <x:v>2021</x:v>
      </x:c>
      <x:c r="B16" s="7" t="str">
        <x:v>사후</x:v>
      </x:c>
      <x:c r="C16" s="11" t="n">
        <x:v>39608</x:v>
      </x:c>
      <x:c r="D16" s="11" t="n">
        <x:v>27624.6666666667</x:v>
      </x:c>
      <x:c r="E16" s="9" t="n">
        <x:v>26.6410826095738</x:v>
      </x:c>
      <x:c r="F16" s="9" t="n">
        <x:v>21.244998382707</x:v>
      </x:c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</x:row>
    <x:row r="17" ht="23" customHeight="1">
      <x:c r="A17" s="10" t="n">
        <x:v>2022</x:v>
      </x:c>
      <x:c r="B17" s="7" t="str">
        <x:v>사후</x:v>
      </x:c>
      <x:c r="C17" s="11" t="n">
        <x:v>39192</x:v>
      </x:c>
      <x:c r="D17" s="11" t="n">
        <x:v>27046.6666666667</x:v>
      </x:c>
      <x:c r="E17" s="9" t="n">
        <x:v>27.4520310267401</x:v>
      </x:c>
      <x:c r="F17" s="9" t="n">
        <x:v>20.8030413651803</x:v>
      </x:c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</x:row>
    <x:row r="21" ht="32" customHeight="1">
      <x:c r="A21" s="3" t="str">
        <x:v>비교 값은 고정 비교 3동의 단순평균입니다. 인구지수는 첫 사전연도=100, 청년변화는 첫 사전연도 대비 %p입니다.</x:v>
      </x:c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</x:row>
    <x:row r="49" ht="2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</x:row>
    <x:row r="51" ht="2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</x:row>
    <x:row r="56" ht="2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</x:row>
    <x:row r="57" ht="2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</x:row>
    <x:row r="58" ht="2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</x:row>
    <x:row r="59" ht="2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</x:row>
    <x:row r="60" ht="2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</x:row>
    <x:row r="61" ht="2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</x:row>
    <x:row r="62" ht="2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</x:row>
    <x:row r="63" ht="2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</x:row>
    <x:row r="64" ht="2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</x:row>
    <x:row r="65" ht="2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</x:row>
    <x:row r="66" ht="2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</x:row>
    <x:row r="67" ht="23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</x:row>
    <x:row r="68" ht="23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</x:row>
  </x:sheetData>
  <x:mergeCells>
    <x:mergeCell ref="A3:R3"/>
    <x:mergeCell ref="A21:R21"/>
  </x:mergeCells>
  <x:pageMargins left="0.7" right="0.7" top="0.75" bottom="0.75" header="0.3" footer="0.3"/>
  <x:drawing xmlns:r="http://schemas.openxmlformats.org/officeDocument/2006/relationships" r:id="R613d2b2147154d1b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0.25" hidden="0" customWidth="1"/>
    <x:col min="2" max="2" width="10.25" hidden="0" customWidth="1"/>
    <x:col min="3" max="3" width="10.25" hidden="0" customWidth="1"/>
    <x:col min="4" max="4" width="10.25" hidden="0" customWidth="1"/>
    <x:col min="5" max="5" width="10.25" hidden="0" customWidth="1"/>
    <x:col min="6" max="6" width="10.25" hidden="0" customWidth="1"/>
    <x:col min="7" max="7" width="10.25" hidden="0" customWidth="1"/>
    <x:col min="8" max="8" width="10.25" hidden="0" customWidth="1"/>
    <x:col min="9" max="9" width="10.25" hidden="0" customWidth="1"/>
    <x:col min="10" max="10" width="10.25" hidden="0" customWidth="1"/>
    <x:col min="11" max="11" width="10.25" hidden="0" customWidth="1"/>
    <x:col min="12" max="12" width="10.25" hidden="0" customWidth="1"/>
    <x:col min="13" max="13" width="10.25" hidden="0" customWidth="1"/>
    <x:col min="14" max="14" width="10.25" hidden="0" customWidth="1"/>
    <x:col min="15" max="15" width="10.25" hidden="0" customWidth="1"/>
    <x:col min="16" max="16" width="10.25" hidden="0" customWidth="1"/>
    <x:col min="17" max="17" width="10.25" hidden="0" customWidth="1"/>
    <x:col min="18" max="18" width="10.25" hidden="0" customWidth="1"/>
  </x:cols>
  <x:sheetData>
    <x:row r="1" ht="28" customHeight="1">
      <x:c r="A1" s="2" t="str">
        <x:v>그림 3 문화비축기지 기준연도 대비 격차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 ht="23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</x:row>
    <x:row r="3" ht="32" customHeight="1">
      <x:c r="A3" s="3" t="str">
        <x:v>수치 출처 사건시점_격차계수.csv / 문화비축기지 / 개관 2017년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</x:row>
    <x:row r="5" ht="23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</x:row>
    <x:row r="6" ht="64" customHeight="1">
      <x:c r="A6" s="6" t="str">
        <x:v>개관 대비 연도</x:v>
      </x:c>
      <x:c r="B6" s="6" t="str">
        <x:v>연도</x:v>
      </x:c>
      <x:c r="C6" s="6" t="str">
        <x:v>인구 격차(명)</x:v>
      </x:c>
      <x:c r="D6" s="6" t="str">
        <x:v>청년 격차(%p)</x:v>
      </x:c>
      <x:c r="E6" s="6" t="str">
        <x:v>순이동 격차(명)</x:v>
      </x:c>
      <x:c r="F6" s="6" t="str">
        <x:v>구분</x:v>
      </x:c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</x:row>
    <x:row r="7" ht="23" customHeight="1">
      <x:c r="A7" s="10" t="n">
        <x:v>-5</x:v>
      </x:c>
      <x:c r="B7" s="10" t="n">
        <x:v>2012</x:v>
      </x:c>
      <x:c r="C7" s="11" t="n">
        <x:v>-834.333333333338</x:v>
      </x:c>
      <x:c r="D7" s="9" t="n">
        <x:v>-2.14622804035051</x:v>
      </x:c>
      <x:c r="E7" s="11" t="n">
        <x:v>-430.333333333334</x:v>
      </x:c>
      <x:c r="F7" s="7" t="str">
        <x:v>사전</x:v>
      </x:c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</x:row>
    <x:row r="8" ht="23" customHeight="1">
      <x:c r="A8" s="10" t="n">
        <x:v>-4</x:v>
      </x:c>
      <x:c r="B8" s="10" t="n">
        <x:v>2013</x:v>
      </x:c>
      <x:c r="C8" s="11" t="n">
        <x:v>-568</x:v>
      </x:c>
      <x:c r="D8" s="9" t="n">
        <x:v>-1.74887128926755</x:v>
      </x:c>
      <x:c r="E8" s="11" t="n">
        <x:v>-37.0000000000007</x:v>
      </x:c>
      <x:c r="F8" s="7" t="str">
        <x:v>사전</x:v>
      </x:c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</x:row>
    <x:row r="9" ht="23" customHeight="1">
      <x:c r="A9" s="10" t="n">
        <x:v>-3</x:v>
      </x:c>
      <x:c r="B9" s="10" t="n">
        <x:v>2014</x:v>
      </x:c>
      <x:c r="C9" s="11" t="n">
        <x:v>-289.000000000003</x:v>
      </x:c>
      <x:c r="D9" s="9" t="n">
        <x:v>-1.4033909825646</x:v>
      </x:c>
      <x:c r="E9" s="11" t="n">
        <x:v>31.3333333333327</x:v>
      </x:c>
      <x:c r="F9" s="7" t="str">
        <x:v>사전</x:v>
      </x:c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</x:row>
    <x:row r="10" ht="23" customHeight="1">
      <x:c r="A10" s="10" t="n">
        <x:v>-2</x:v>
      </x:c>
      <x:c r="B10" s="10" t="n">
        <x:v>2015</x:v>
      </x:c>
      <x:c r="C10" s="11" t="n">
        <x:v>-284.000000000003</x:v>
      </x:c>
      <x:c r="D10" s="9" t="n">
        <x:v>-0.749085793567151</x:v>
      </x:c>
      <x:c r="E10" s="11" t="n">
        <x:v>-288.666666666667</x:v>
      </x:c>
      <x:c r="F10" s="7" t="str">
        <x:v>사전</x:v>
      </x:c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</x:row>
    <x:row r="11" ht="23" customHeight="1">
      <x:c r="A11" s="10" t="n">
        <x:v>-1</x:v>
      </x:c>
      <x:c r="B11" s="10" t="n">
        <x:v>2016</x:v>
      </x:c>
      <x:c r="C11" s="11" t="n">
        <x:v>0</x:v>
      </x:c>
      <x:c r="D11" s="9" t="n">
        <x:v>0</x:v>
      </x:c>
      <x:c r="E11" s="11" t="n">
        <x:v>0</x:v>
      </x:c>
      <x:c r="F11" s="7" t="str">
        <x:v>기준연도</x:v>
      </x:c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</x:row>
    <x:row r="12" ht="23" customHeight="1">
      <x:c r="A12" s="10" t="n">
        <x:v>0</x:v>
      </x:c>
      <x:c r="B12" s="10" t="n">
        <x:v>2017</x:v>
      </x:c>
      <x:c r="C12" s="11"/>
      <x:c r="D12" s="9"/>
      <x:c r="E12" s="11"/>
      <x:c r="F12" s="7" t="str">
        <x:v>개관연도 제외</x:v>
      </x:c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</x:row>
    <x:row r="13" ht="23" customHeight="1">
      <x:c r="A13" s="10" t="n">
        <x:v>1</x:v>
      </x:c>
      <x:c r="B13" s="10" t="n">
        <x:v>2018</x:v>
      </x:c>
      <x:c r="C13" s="11" t="n">
        <x:v>777.333333333332</x:v>
      </x:c>
      <x:c r="D13" s="9" t="n">
        <x:v>3.7325751198029</x:v>
      </x:c>
      <x:c r="E13" s="11" t="n">
        <x:v>338.666666666666</x:v>
      </x:c>
      <x:c r="F13" s="7" t="str">
        <x:v>사후</x:v>
      </x:c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</x:row>
    <x:row r="14" ht="23" customHeight="1">
      <x:c r="A14" s="10" t="n">
        <x:v>2</x:v>
      </x:c>
      <x:c r="B14" s="10" t="n">
        <x:v>2019</x:v>
      </x:c>
      <x:c r="C14" s="11" t="n">
        <x:v>836.333333333332</x:v>
      </x:c>
      <x:c r="D14" s="9" t="n">
        <x:v>4.73133261609629</x:v>
      </x:c>
      <x:c r="E14" s="11" t="n">
        <x:v>-109.000000000001</x:v>
      </x:c>
      <x:c r="F14" s="7" t="str">
        <x:v>사후</x:v>
      </x:c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</x:row>
    <x:row r="15" ht="23" customHeight="1">
      <x:c r="A15" s="10" t="n">
        <x:v>3</x:v>
      </x:c>
      <x:c r="B15" s="10" t="n">
        <x:v>2020</x:v>
      </x:c>
      <x:c r="C15" s="11" t="n">
        <x:v>817.666666666665</x:v>
      </x:c>
      <x:c r="D15" s="9" t="n">
        <x:v>5.28883838863082</x:v>
      </x:c>
      <x:c r="E15" s="11" t="n">
        <x:v>-186.666666666667</x:v>
      </x:c>
      <x:c r="F15" s="7" t="str">
        <x:v>사후</x:v>
      </x:c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</x:row>
    <x:row r="16" ht="23" customHeight="1">
      <x:c r="A16" s="10" t="n">
        <x:v>4</x:v>
      </x:c>
      <x:c r="B16" s="10" t="n">
        <x:v>2021</x:v>
      </x:c>
      <x:c r="C16" s="11" t="n">
        <x:v>899.999999999999</x:v>
      </x:c>
      <x:c r="D16" s="9" t="n">
        <x:v>5.87662182490336</x:v>
      </x:c>
      <x:c r="E16" s="11" t="n">
        <x:v>-67.6666666666676</x:v>
      </x:c>
      <x:c r="F16" s="7" t="str">
        <x:v>사후</x:v>
      </x:c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</x:row>
    <x:row r="17" ht="23" customHeight="1">
      <x:c r="A17" s="10" t="n">
        <x:v>5</x:v>
      </x:c>
      <x:c r="B17" s="10" t="n">
        <x:v>2022</x:v>
      </x:c>
      <x:c r="C17" s="11" t="n">
        <x:v>1062</x:v>
      </x:c>
      <x:c r="D17" s="9" t="n">
        <x:v>7.12952725959636</x:v>
      </x:c>
      <x:c r="E17" s="11" t="n">
        <x:v>9.3333333333326</x:v>
      </x:c>
      <x:c r="F17" s="7" t="str">
        <x:v>사후</x:v>
      </x:c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</x:row>
    <x:row r="21" ht="32" customHeight="1">
      <x:c r="A21" s="3" t="str">
        <x:v>마지막 사전연도(-1)를 기준으로 한 처치-비교 격차의 변화입니다. 개관연도(0)는 제외했으며 기준연도의 0은 실제 기준값입니다.</x:v>
      </x:c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</x:row>
    <x:row r="49" ht="2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</x:row>
    <x:row r="51" ht="2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</x:row>
    <x:row r="56" ht="2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</x:row>
    <x:row r="57" ht="2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</x:row>
    <x:row r="58" ht="2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</x:row>
    <x:row r="59" ht="2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</x:row>
    <x:row r="60" ht="2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</x:row>
    <x:row r="61" ht="2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</x:row>
    <x:row r="62" ht="2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</x:row>
    <x:row r="63" ht="2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</x:row>
    <x:row r="64" ht="2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</x:row>
    <x:row r="65" ht="2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</x:row>
    <x:row r="66" ht="2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</x:row>
    <x:row r="67" ht="23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</x:row>
    <x:row r="68" ht="23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</x:row>
  </x:sheetData>
  <x:mergeCells>
    <x:mergeCell ref="A3:R3"/>
    <x:mergeCell ref="A21:R21"/>
  </x:mergeCells>
  <x:pageMargins left="0.7" right="0.7" top="0.75" bottom="0.75" header="0.3" footer="0.3"/>
  <x:drawing xmlns:r="http://schemas.openxmlformats.org/officeDocument/2006/relationships" r:id="R308d4b9e14414689"/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0.25" hidden="0" customWidth="1"/>
    <x:col min="2" max="2" width="10.25" hidden="0" customWidth="1"/>
    <x:col min="3" max="3" width="10.25" hidden="0" customWidth="1"/>
    <x:col min="4" max="4" width="10.25" hidden="0" customWidth="1"/>
    <x:col min="5" max="5" width="10.25" hidden="0" customWidth="1"/>
    <x:col min="6" max="6" width="10.25" hidden="0" customWidth="1"/>
    <x:col min="7" max="7" width="10.25" hidden="0" customWidth="1"/>
    <x:col min="8" max="8" width="10.25" hidden="0" customWidth="1"/>
    <x:col min="9" max="9" width="10.25" hidden="0" customWidth="1"/>
    <x:col min="10" max="10" width="10.25" hidden="0" customWidth="1"/>
    <x:col min="11" max="11" width="10.25" hidden="0" customWidth="1"/>
    <x:col min="12" max="12" width="10.25" hidden="0" customWidth="1"/>
    <x:col min="13" max="13" width="10.25" hidden="0" customWidth="1"/>
    <x:col min="14" max="14" width="10.25" hidden="0" customWidth="1"/>
    <x:col min="15" max="15" width="10.25" hidden="0" customWidth="1"/>
    <x:col min="16" max="16" width="10.25" hidden="0" customWidth="1"/>
    <x:col min="17" max="17" width="10.25" hidden="0" customWidth="1"/>
    <x:col min="18" max="18" width="10.25" hidden="0" customWidth="1"/>
  </x:cols>
  <x:sheetData>
    <x:row r="1" ht="28" customHeight="1">
      <x:c r="A1" s="2" t="str">
        <x:v>그림 4 F1963 인구와 청년비율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 ht="23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</x:row>
    <x:row r="3" ht="32" customHeight="1">
      <x:c r="A3" s="3" t="str">
        <x:v>수치 출처 그림_연도별처치비교값.csv / F1963 / 개관 2017년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</x:row>
    <x:row r="5" ht="23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</x:row>
    <x:row r="6" ht="64" customHeight="1">
      <x:c r="A6" s="6" t="str">
        <x:v>연도</x:v>
      </x:c>
      <x:c r="B6" s="6" t="str">
        <x:v>구분</x:v>
      </x:c>
      <x:c r="C6" s="6" t="str">
        <x:v>처치 인구(명)</x:v>
      </x:c>
      <x:c r="D6" s="6" t="str">
        <x:v>비교 인구(명)</x:v>
      </x:c>
      <x:c r="E6" s="6" t="str">
        <x:v>처치 청년(%)</x:v>
      </x:c>
      <x:c r="F6" s="6" t="str">
        <x:v>비교 청년(%)</x:v>
      </x:c>
      <x:c r="G6" s="1"/>
      <x:c r="H6" s="6" t="str">
        <x:v>연도</x:v>
      </x:c>
      <x:c r="I6" s="6" t="str">
        <x:v>처치 인구지수</x:v>
      </x:c>
      <x:c r="J6" s="6" t="str">
        <x:v>비교 인구지수</x:v>
      </x:c>
      <x:c r="K6" s="6" t="str">
        <x:v>처치 청년변화</x:v>
      </x:c>
      <x:c r="L6" s="6" t="str">
        <x:v>비교 청년변화</x:v>
      </x:c>
      <x:c r="M6" s="1"/>
      <x:c r="N6" s="1"/>
      <x:c r="O6" s="1"/>
      <x:c r="P6" s="1"/>
      <x:c r="Q6" s="1"/>
      <x:c r="R6" s="1"/>
    </x:row>
    <x:row r="7" ht="23" customHeight="1">
      <x:c r="A7" s="10" t="n">
        <x:v>2012</x:v>
      </x:c>
      <x:c r="B7" s="7" t="str">
        <x:v>사전</x:v>
      </x:c>
      <x:c r="C7" s="11" t="n">
        <x:v>14195</x:v>
      </x:c>
      <x:c r="D7" s="11" t="n">
        <x:v>16622</x:v>
      </x:c>
      <x:c r="E7" s="9" t="n">
        <x:v>21.655512504403</x:v>
      </x:c>
      <x:c r="F7" s="9" t="n">
        <x:v>23.5156390329335</x:v>
      </x:c>
      <x:c r="G7" s="1"/>
      <x:c r="H7" s="10" t="n">
        <x:v>2012</x:v>
      </x:c>
      <x:c r="I7" s="12" t="n">
        <x:f>C7/$C$7*100</x:f>
        <x:v>100</x:v>
      </x:c>
      <x:c r="J7" s="12" t="n">
        <x:f>D7/$D$7*100</x:f>
        <x:v>100</x:v>
      </x:c>
      <x:c r="K7" s="9" t="n">
        <x:f>E7-$E$7</x:f>
        <x:v>0</x:v>
      </x:c>
      <x:c r="L7" s="9" t="n">
        <x:f>F7-$F$7</x:f>
        <x:v>0</x:v>
      </x:c>
      <x:c r="M7" s="1"/>
      <x:c r="N7" s="1"/>
      <x:c r="O7" s="1"/>
      <x:c r="P7" s="1"/>
      <x:c r="Q7" s="1"/>
      <x:c r="R7" s="1"/>
    </x:row>
    <x:row r="8" ht="23" customHeight="1">
      <x:c r="A8" s="10" t="n">
        <x:v>2013</x:v>
      </x:c>
      <x:c r="B8" s="7" t="str">
        <x:v>사전</x:v>
      </x:c>
      <x:c r="C8" s="11" t="n">
        <x:v>13910</x:v>
      </x:c>
      <x:c r="D8" s="11" t="n">
        <x:v>16381.6666666667</x:v>
      </x:c>
      <x:c r="E8" s="9" t="n">
        <x:v>21.2365204888569</x:v>
      </x:c>
      <x:c r="F8" s="9" t="n">
        <x:v>23.1950518590611</x:v>
      </x:c>
      <x:c r="G8" s="1"/>
      <x:c r="H8" s="10" t="n">
        <x:v>2013</x:v>
      </x:c>
      <x:c r="I8" s="12" t="n">
        <x:f>C8/$C$7*100</x:f>
        <x:v>97.99225079253259</x:v>
      </x:c>
      <x:c r="J8" s="12" t="n">
        <x:f>D8/$D$7*100</x:f>
        <x:v>98.554125055148</x:v>
      </x:c>
      <x:c r="K8" s="9" t="n">
        <x:f>E8-$E$7</x:f>
        <x:v>-0.4189920155460989</x:v>
      </x:c>
      <x:c r="L8" s="9" t="n">
        <x:f>F8-$F$7</x:f>
        <x:v>-0.32058717387240065</x:v>
      </x:c>
      <x:c r="M8" s="1"/>
      <x:c r="N8" s="1"/>
      <x:c r="O8" s="1"/>
      <x:c r="P8" s="1"/>
      <x:c r="Q8" s="1"/>
      <x:c r="R8" s="1"/>
    </x:row>
    <x:row r="9" ht="23" customHeight="1">
      <x:c r="A9" s="10" t="n">
        <x:v>2014</x:v>
      </x:c>
      <x:c r="B9" s="7" t="str">
        <x:v>사전</x:v>
      </x:c>
      <x:c r="C9" s="11" t="n">
        <x:v>13354</x:v>
      </x:c>
      <x:c r="D9" s="11" t="n">
        <x:v>16008.6666666667</x:v>
      </x:c>
      <x:c r="E9" s="9" t="n">
        <x:v>20.9824771604014</x:v>
      </x:c>
      <x:c r="F9" s="9" t="n">
        <x:v>22.7501728059889</x:v>
      </x:c>
      <x:c r="G9" s="1"/>
      <x:c r="H9" s="10" t="n">
        <x:v>2014</x:v>
      </x:c>
      <x:c r="I9" s="12" t="n">
        <x:f>C9/$C$7*100</x:f>
        <x:v>94.0753786544558</x:v>
      </x:c>
      <x:c r="J9" s="12" t="n">
        <x:f>D9/$D$7*100</x:f>
        <x:v>96.31011109774215</x:v>
      </x:c>
      <x:c r="K9" s="9" t="n">
        <x:f>E9-$E$7</x:f>
        <x:v>-0.6730353440015975</x:v>
      </x:c>
      <x:c r="L9" s="9" t="n">
        <x:f>F9-$F$7</x:f>
        <x:v>-0.7654662269446</x:v>
      </x:c>
      <x:c r="M9" s="1"/>
      <x:c r="N9" s="1"/>
      <x:c r="O9" s="1"/>
      <x:c r="P9" s="1"/>
      <x:c r="Q9" s="1"/>
      <x:c r="R9" s="1"/>
    </x:row>
    <x:row r="10" ht="23" customHeight="1">
      <x:c r="A10" s="10" t="n">
        <x:v>2015</x:v>
      </x:c>
      <x:c r="B10" s="7" t="str">
        <x:v>사전</x:v>
      </x:c>
      <x:c r="C10" s="11" t="n">
        <x:v>13161</x:v>
      </x:c>
      <x:c r="D10" s="11" t="n">
        <x:v>15957.6666666667</x:v>
      </x:c>
      <x:c r="E10" s="9" t="n">
        <x:v>20.1960337360383</x:v>
      </x:c>
      <x:c r="F10" s="9" t="n">
        <x:v>22.3125750872459</x:v>
      </x:c>
      <x:c r="G10" s="1"/>
      <x:c r="H10" s="10" t="n">
        <x:v>2015</x:v>
      </x:c>
      <x:c r="I10" s="12" t="n">
        <x:f>C10/$C$7*100</x:f>
        <x:v>92.71574498062698</x:v>
      </x:c>
      <x:c r="J10" s="12" t="n">
        <x:f>D10/$D$7*100</x:f>
        <x:v>96.00328881402179</x:v>
      </x:c>
      <x:c r="K10" s="9" t="n">
        <x:f>E10-$E$7</x:f>
        <x:v>-1.4594787683647006</x:v>
      </x:c>
      <x:c r="L10" s="9" t="n">
        <x:f>F10-$F$7</x:f>
        <x:v>-1.2030639456875996</x:v>
      </x:c>
      <x:c r="M10" s="1"/>
      <x:c r="N10" s="1"/>
      <x:c r="O10" s="1"/>
      <x:c r="P10" s="1"/>
      <x:c r="Q10" s="1"/>
      <x:c r="R10" s="1"/>
    </x:row>
    <x:row r="11" ht="23" customHeight="1">
      <x:c r="A11" s="10" t="n">
        <x:v>2016</x:v>
      </x:c>
      <x:c r="B11" s="7" t="str">
        <x:v>사전</x:v>
      </x:c>
      <x:c r="C11" s="11" t="n">
        <x:v>13077</x:v>
      </x:c>
      <x:c r="D11" s="11" t="n">
        <x:v>16311.6666666667</x:v>
      </x:c>
      <x:c r="E11" s="9" t="n">
        <x:v>19.3698860594938</x:v>
      </x:c>
      <x:c r="F11" s="9" t="n">
        <x:v>21.7101073687686</x:v>
      </x:c>
      <x:c r="G11" s="1"/>
      <x:c r="H11" s="10" t="n">
        <x:v>2016</x:v>
      </x:c>
      <x:c r="I11" s="12" t="n">
        <x:f>C11/$C$7*100</x:f>
        <x:v>92.1239873194787</x:v>
      </x:c>
      <x:c r="J11" s="12" t="n">
        <x:f>D11/$D$7*100</x:f>
        <x:v>98.13299643043376</x:v>
      </x:c>
      <x:c r="K11" s="9" t="n">
        <x:f>E11-$E$7</x:f>
        <x:v>-2.285626444909198</x:v>
      </x:c>
      <x:c r="L11" s="9" t="n">
        <x:f>F11-$F$7</x:f>
        <x:v>-1.8055316641648993</x:v>
      </x:c>
      <x:c r="M11" s="1"/>
      <x:c r="N11" s="1"/>
      <x:c r="O11" s="1"/>
      <x:c r="P11" s="1"/>
      <x:c r="Q11" s="1"/>
      <x:c r="R11" s="1"/>
    </x:row>
    <x:row r="12" ht="23" customHeight="1">
      <x:c r="A12" s="10" t="n">
        <x:v>2017</x:v>
      </x:c>
      <x:c r="B12" s="7" t="str">
        <x:v>개관연도 제외</x:v>
      </x:c>
      <x:c r="C12" s="11"/>
      <x:c r="D12" s="11"/>
      <x:c r="E12" s="9"/>
      <x:c r="F12" s="9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</x:row>
    <x:row r="13" ht="23" customHeight="1">
      <x:c r="A13" s="10" t="n">
        <x:v>2018</x:v>
      </x:c>
      <x:c r="B13" s="7" t="str">
        <x:v>사후</x:v>
      </x:c>
      <x:c r="C13" s="11" t="n">
        <x:v>12350</x:v>
      </x:c>
      <x:c r="D13" s="11" t="n">
        <x:v>16352</x:v>
      </x:c>
      <x:c r="E13" s="9" t="n">
        <x:v>18.0728744939271</x:v>
      </x:c>
      <x:c r="F13" s="9" t="n">
        <x:v>21.0328911404023</x:v>
      </x:c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</x:row>
    <x:row r="14" ht="23" customHeight="1">
      <x:c r="A14" s="10" t="n">
        <x:v>2019</x:v>
      </x:c>
      <x:c r="B14" s="7" t="str">
        <x:v>사후</x:v>
      </x:c>
      <x:c r="C14" s="11" t="n">
        <x:v>11987</x:v>
      </x:c>
      <x:c r="D14" s="11" t="n">
        <x:v>16110</x:v>
      </x:c>
      <x:c r="E14" s="9" t="n">
        <x:v>18.1363143405356</x:v>
      </x:c>
      <x:c r="F14" s="9" t="n">
        <x:v>20.9761993906467</x:v>
      </x:c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</x:row>
    <x:row r="15" ht="23" customHeight="1">
      <x:c r="A15" s="10" t="n">
        <x:v>2020</x:v>
      </x:c>
      <x:c r="B15" s="7" t="str">
        <x:v>사후</x:v>
      </x:c>
      <x:c r="C15" s="11" t="n">
        <x:v>11501</x:v>
      </x:c>
      <x:c r="D15" s="11" t="n">
        <x:v>15588.3333333333</x:v>
      </x:c>
      <x:c r="E15" s="9" t="n">
        <x:v>17.5636901139031</x:v>
      </x:c>
      <x:c r="F15" s="9" t="n">
        <x:v>21.1795922883967</x:v>
      </x:c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</x:row>
    <x:row r="16" ht="23" customHeight="1">
      <x:c r="A16" s="10" t="n">
        <x:v>2021</x:v>
      </x:c>
      <x:c r="B16" s="7" t="str">
        <x:v>사후</x:v>
      </x:c>
      <x:c r="C16" s="11" t="n">
        <x:v>10703</x:v>
      </x:c>
      <x:c r="D16" s="11" t="n">
        <x:v>15385.3333333333</x:v>
      </x:c>
      <x:c r="E16" s="9" t="n">
        <x:v>17.0326076800897</x:v>
      </x:c>
      <x:c r="F16" s="9" t="n">
        <x:v>21.6107512015379</x:v>
      </x:c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</x:row>
    <x:row r="17" ht="23" customHeight="1">
      <x:c r="A17" s="10" t="n">
        <x:v>2022</x:v>
      </x:c>
      <x:c r="B17" s="7" t="str">
        <x:v>사후</x:v>
      </x:c>
      <x:c r="C17" s="11" t="n">
        <x:v>10363</x:v>
      </x:c>
      <x:c r="D17" s="11" t="n">
        <x:v>16035.3333333333</x:v>
      </x:c>
      <x:c r="E17" s="9" t="n">
        <x:v>17.1378944321143</x:v>
      </x:c>
      <x:c r="F17" s="9" t="n">
        <x:v>21.9516221952057</x:v>
      </x:c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</x:row>
    <x:row r="21" ht="32" customHeight="1">
      <x:c r="A21" s="3" t="str">
        <x:v>비교 값은 고정 비교 3동의 단순평균입니다. 인구지수는 첫 사전연도=100, 청년변화는 첫 사전연도 대비 %p입니다.</x:v>
      </x:c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</x:row>
    <x:row r="49" ht="2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</x:row>
    <x:row r="51" ht="2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</x:row>
    <x:row r="56" ht="2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</x:row>
    <x:row r="57" ht="2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</x:row>
    <x:row r="58" ht="2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</x:row>
    <x:row r="59" ht="2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</x:row>
    <x:row r="60" ht="2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</x:row>
    <x:row r="61" ht="2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</x:row>
    <x:row r="62" ht="2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</x:row>
    <x:row r="63" ht="2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</x:row>
    <x:row r="64" ht="2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</x:row>
    <x:row r="65" ht="2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</x:row>
    <x:row r="66" ht="2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</x:row>
    <x:row r="67" ht="23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</x:row>
    <x:row r="68" ht="23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</x:row>
  </x:sheetData>
  <x:mergeCells>
    <x:mergeCell ref="A3:R3"/>
    <x:mergeCell ref="A21:R21"/>
  </x:mergeCells>
  <x:pageMargins left="0.7" right="0.7" top="0.75" bottom="0.75" header="0.3" footer="0.3"/>
  <x:drawing xmlns:r="http://schemas.openxmlformats.org/officeDocument/2006/relationships" r:id="R49b66f6e4c0d4aca"/>
</x:worksheet>
</file>

<file path=xl/worksheets/sheet6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0.25" hidden="0" customWidth="1"/>
    <x:col min="2" max="2" width="10.25" hidden="0" customWidth="1"/>
    <x:col min="3" max="3" width="10.25" hidden="0" customWidth="1"/>
    <x:col min="4" max="4" width="10.25" hidden="0" customWidth="1"/>
    <x:col min="5" max="5" width="10.25" hidden="0" customWidth="1"/>
    <x:col min="6" max="6" width="10.25" hidden="0" customWidth="1"/>
    <x:col min="7" max="7" width="10.25" hidden="0" customWidth="1"/>
    <x:col min="8" max="8" width="10.25" hidden="0" customWidth="1"/>
    <x:col min="9" max="9" width="10.25" hidden="0" customWidth="1"/>
    <x:col min="10" max="10" width="10.25" hidden="0" customWidth="1"/>
    <x:col min="11" max="11" width="10.25" hidden="0" customWidth="1"/>
    <x:col min="12" max="12" width="10.25" hidden="0" customWidth="1"/>
    <x:col min="13" max="13" width="10.25" hidden="0" customWidth="1"/>
    <x:col min="14" max="14" width="10.25" hidden="0" customWidth="1"/>
    <x:col min="15" max="15" width="10.25" hidden="0" customWidth="1"/>
    <x:col min="16" max="16" width="10.25" hidden="0" customWidth="1"/>
    <x:col min="17" max="17" width="10.25" hidden="0" customWidth="1"/>
    <x:col min="18" max="18" width="10.25" hidden="0" customWidth="1"/>
  </x:cols>
  <x:sheetData>
    <x:row r="1" ht="28" customHeight="1">
      <x:c r="A1" s="2" t="str">
        <x:v>그림 5 F1963 기준연도 대비 격차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 ht="23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</x:row>
    <x:row r="3" ht="32" customHeight="1">
      <x:c r="A3" s="3" t="str">
        <x:v>수치 출처 사건시점_격차계수.csv / F1963 / 개관 2017년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</x:row>
    <x:row r="5" ht="23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</x:row>
    <x:row r="6" ht="64" customHeight="1">
      <x:c r="A6" s="6" t="str">
        <x:v>개관 대비 연도</x:v>
      </x:c>
      <x:c r="B6" s="6" t="str">
        <x:v>연도</x:v>
      </x:c>
      <x:c r="C6" s="6" t="str">
        <x:v>인구 격차(명)</x:v>
      </x:c>
      <x:c r="D6" s="6" t="str">
        <x:v>청년 격차(%p)</x:v>
      </x:c>
      <x:c r="E6" s="6" t="str">
        <x:v>순이동 격차(명)</x:v>
      </x:c>
      <x:c r="F6" s="6" t="str">
        <x:v>구분</x:v>
      </x:c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</x:row>
    <x:row r="7" ht="23" customHeight="1">
      <x:c r="A7" s="10" t="n">
        <x:v>-5</x:v>
      </x:c>
      <x:c r="B7" s="10" t="n">
        <x:v>2012</x:v>
      </x:c>
      <x:c r="C7" s="11" t="n">
        <x:v>807.666666666656</x:v>
      </x:c>
      <x:c r="D7" s="9" t="n">
        <x:v>0.480094780744337</x:v>
      </x:c>
      <x:c r="E7" s="11" t="n">
        <x:v>331.333333333332</x:v>
      </x:c>
      <x:c r="F7" s="7" t="str">
        <x:v>사전</x:v>
      </x:c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</x:row>
    <x:row r="8" ht="23" customHeight="1">
      <x:c r="A8" s="10" t="n">
        <x:v>-4</x:v>
      </x:c>
      <x:c r="B8" s="10" t="n">
        <x:v>2013</x:v>
      </x:c>
      <x:c r="C8" s="11" t="n">
        <x:v>763.000000000002</x:v>
      </x:c>
      <x:c r="D8" s="9" t="n">
        <x:v>0.381689939070726</x:v>
      </x:c>
      <x:c r="E8" s="11" t="n">
        <x:v>442</x:v>
      </x:c>
      <x:c r="F8" s="7" t="str">
        <x:v>사전</x:v>
      </x:c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</x:row>
    <x:row r="9" ht="23" customHeight="1">
      <x:c r="A9" s="10" t="n">
        <x:v>-3</x:v>
      </x:c>
      <x:c r="B9" s="10" t="n">
        <x:v>2014</x:v>
      </x:c>
      <x:c r="C9" s="11" t="n">
        <x:v>579.999999999999</x:v>
      </x:c>
      <x:c r="D9" s="9" t="n">
        <x:v>0.572525663687377</x:v>
      </x:c>
      <x:c r="E9" s="11" t="n">
        <x:v>304.999999999999</x:v>
      </x:c>
      <x:c r="F9" s="7" t="str">
        <x:v>사전</x:v>
      </x:c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</x:row>
    <x:row r="10" ht="23" customHeight="1">
      <x:c r="A10" s="10" t="n">
        <x:v>-2</x:v>
      </x:c>
      <x:c r="B10" s="10" t="n">
        <x:v>2015</x:v>
      </x:c>
      <x:c r="C10" s="11" t="n">
        <x:v>438.000000000005</x:v>
      </x:c>
      <x:c r="D10" s="9" t="n">
        <x:v>0.223679958067227</x:v>
      </x:c>
      <x:c r="E10" s="11" t="n">
        <x:v>330.666666666667</x:v>
      </x:c>
      <x:c r="F10" s="7" t="str">
        <x:v>사전</x:v>
      </x:c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</x:row>
    <x:row r="11" ht="23" customHeight="1">
      <x:c r="A11" s="10" t="n">
        <x:v>-1</x:v>
      </x:c>
      <x:c r="B11" s="10" t="n">
        <x:v>2016</x:v>
      </x:c>
      <x:c r="C11" s="11" t="n">
        <x:v>0</x:v>
      </x:c>
      <x:c r="D11" s="9" t="n">
        <x:v>0</x:v>
      </x:c>
      <x:c r="E11" s="11" t="n">
        <x:v>0</x:v>
      </x:c>
      <x:c r="F11" s="7" t="str">
        <x:v>기준연도</x:v>
      </x:c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</x:row>
    <x:row r="12" ht="23" customHeight="1">
      <x:c r="A12" s="10" t="n">
        <x:v>0</x:v>
      </x:c>
      <x:c r="B12" s="10" t="n">
        <x:v>2017</x:v>
      </x:c>
      <x:c r="C12" s="11"/>
      <x:c r="D12" s="9"/>
      <x:c r="E12" s="11"/>
      <x:c r="F12" s="7" t="str">
        <x:v>개관연도 제외</x:v>
      </x:c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</x:row>
    <x:row r="13" ht="23" customHeight="1">
      <x:c r="A13" s="10" t="n">
        <x:v>1</x:v>
      </x:c>
      <x:c r="B13" s="10" t="n">
        <x:v>2018</x:v>
      </x:c>
      <x:c r="C13" s="11" t="n">
        <x:v>-767.333333333333</x:v>
      </x:c>
      <x:c r="D13" s="9" t="n">
        <x:v>-0.619795337200259</x:v>
      </x:c>
      <x:c r="E13" s="11" t="n">
        <x:v>-222.666666666667</x:v>
      </x:c>
      <x:c r="F13" s="7" t="str">
        <x:v>사후</x:v>
      </x:c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</x:row>
    <x:row r="14" ht="23" customHeight="1">
      <x:c r="A14" s="10" t="n">
        <x:v>2</x:v>
      </x:c>
      <x:c r="B14" s="10" t="n">
        <x:v>2019</x:v>
      </x:c>
      <x:c r="C14" s="11" t="n">
        <x:v>-888.333333333333</x:v>
      </x:c>
      <x:c r="D14" s="9" t="n">
        <x:v>-0.499663740836206</x:v>
      </x:c>
      <x:c r="E14" s="11" t="n">
        <x:v>352</x:v>
      </x:c>
      <x:c r="F14" s="7" t="str">
        <x:v>사후</x:v>
      </x:c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</x:row>
    <x:row r="15" ht="23" customHeight="1">
      <x:c r="A15" s="10" t="n">
        <x:v>3</x:v>
      </x:c>
      <x:c r="B15" s="10" t="n">
        <x:v>2020</x:v>
      </x:c>
      <x:c r="C15" s="11" t="n">
        <x:v>-852.666666666666</x:v>
      </x:c>
      <x:c r="D15" s="9" t="n">
        <x:v>-1.2756808652187</x:v>
      </x:c>
      <x:c r="E15" s="11" t="n">
        <x:v>491.666666666667</x:v>
      </x:c>
      <x:c r="F15" s="7" t="str">
        <x:v>사후</x:v>
      </x:c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</x:row>
    <x:row r="16" ht="23" customHeight="1">
      <x:c r="A16" s="10" t="n">
        <x:v>4</x:v>
      </x:c>
      <x:c r="B16" s="10" t="n">
        <x:v>2021</x:v>
      </x:c>
      <x:c r="C16" s="11" t="n">
        <x:v>-1447.66666666667</x:v>
      </x:c>
      <x:c r="D16" s="9" t="n">
        <x:v>-2.23792221217337</x:v>
      </x:c>
      <x:c r="E16" s="11" t="n">
        <x:v>-144</x:v>
      </x:c>
      <x:c r="F16" s="7" t="str">
        <x:v>사후</x:v>
      </x:c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</x:row>
    <x:row r="17" ht="23" customHeight="1">
      <x:c r="A17" s="10" t="n">
        <x:v>5</x:v>
      </x:c>
      <x:c r="B17" s="10" t="n">
        <x:v>2022</x:v>
      </x:c>
      <x:c r="C17" s="11" t="n">
        <x:v>-2437.66666666667</x:v>
      </x:c>
      <x:c r="D17" s="9" t="n">
        <x:v>-2.47350645381655</x:v>
      </x:c>
      <x:c r="E17" s="11" t="n">
        <x:v>-537</x:v>
      </x:c>
      <x:c r="F17" s="7" t="str">
        <x:v>사후</x:v>
      </x:c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</x:row>
    <x:row r="21" ht="32" customHeight="1">
      <x:c r="A21" s="3" t="str">
        <x:v>마지막 사전연도(-1)를 기준으로 한 처치-비교 격차의 변화입니다. 개관연도(0)는 제외했으며 기준연도의 0은 실제 기준값입니다.</x:v>
      </x:c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</x:row>
    <x:row r="49" ht="2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</x:row>
    <x:row r="51" ht="2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</x:row>
    <x:row r="56" ht="2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</x:row>
    <x:row r="57" ht="2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</x:row>
    <x:row r="58" ht="2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</x:row>
    <x:row r="59" ht="2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</x:row>
    <x:row r="60" ht="2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</x:row>
    <x:row r="61" ht="2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</x:row>
    <x:row r="62" ht="2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</x:row>
    <x:row r="63" ht="2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</x:row>
    <x:row r="64" ht="2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</x:row>
    <x:row r="65" ht="2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</x:row>
    <x:row r="66" ht="2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</x:row>
    <x:row r="67" ht="23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</x:row>
    <x:row r="68" ht="23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</x:row>
  </x:sheetData>
  <x:mergeCells>
    <x:mergeCell ref="A3:R3"/>
    <x:mergeCell ref="A21:R21"/>
  </x:mergeCells>
  <x:pageMargins left="0.7" right="0.7" top="0.75" bottom="0.75" header="0.3" footer="0.3"/>
  <x:drawing xmlns:r="http://schemas.openxmlformats.org/officeDocument/2006/relationships" r:id="R2160e141bb89479a"/>
</x:worksheet>
</file>

<file path=xl/worksheets/sheet7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0.25" hidden="0" customWidth="1"/>
    <x:col min="2" max="2" width="10.25" hidden="0" customWidth="1"/>
    <x:col min="3" max="3" width="10.25" hidden="0" customWidth="1"/>
    <x:col min="4" max="4" width="10.25" hidden="0" customWidth="1"/>
    <x:col min="5" max="5" width="10.25" hidden="0" customWidth="1"/>
    <x:col min="6" max="6" width="10.25" hidden="0" customWidth="1"/>
    <x:col min="7" max="7" width="10.25" hidden="0" customWidth="1"/>
    <x:col min="8" max="8" width="10.25" hidden="0" customWidth="1"/>
    <x:col min="9" max="9" width="10.25" hidden="0" customWidth="1"/>
    <x:col min="10" max="10" width="10.25" hidden="0" customWidth="1"/>
    <x:col min="11" max="11" width="10.25" hidden="0" customWidth="1"/>
    <x:col min="12" max="12" width="10.25" hidden="0" customWidth="1"/>
    <x:col min="13" max="13" width="10.25" hidden="0" customWidth="1"/>
    <x:col min="14" max="14" width="10.25" hidden="0" customWidth="1"/>
    <x:col min="15" max="15" width="10.25" hidden="0" customWidth="1"/>
    <x:col min="16" max="16" width="10.25" hidden="0" customWidth="1"/>
    <x:col min="17" max="17" width="10.25" hidden="0" customWidth="1"/>
    <x:col min="18" max="18" width="10.25" hidden="0" customWidth="1"/>
  </x:cols>
  <x:sheetData>
    <x:row r="1" ht="28" customHeight="1">
      <x:c r="A1" s="2" t="str">
        <x:v>그림 6 고색뉴지엄 인구와 청년비율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 ht="23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</x:row>
    <x:row r="3" ht="32" customHeight="1">
      <x:c r="A3" s="3" t="str">
        <x:v>수치 출처 그림_연도별처치비교값.csv / 고색뉴지엄 / 개관 2017년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</x:row>
    <x:row r="5" ht="23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</x:row>
    <x:row r="6" ht="64" customHeight="1">
      <x:c r="A6" s="6" t="str">
        <x:v>연도</x:v>
      </x:c>
      <x:c r="B6" s="6" t="str">
        <x:v>구분</x:v>
      </x:c>
      <x:c r="C6" s="6" t="str">
        <x:v>처치 인구(명)</x:v>
      </x:c>
      <x:c r="D6" s="6" t="str">
        <x:v>비교 인구(명)</x:v>
      </x:c>
      <x:c r="E6" s="6" t="str">
        <x:v>처치 청년(%)</x:v>
      </x:c>
      <x:c r="F6" s="6" t="str">
        <x:v>비교 청년(%)</x:v>
      </x:c>
      <x:c r="G6" s="1"/>
      <x:c r="H6" s="6" t="str">
        <x:v>연도</x:v>
      </x:c>
      <x:c r="I6" s="6" t="str">
        <x:v>처치 인구지수</x:v>
      </x:c>
      <x:c r="J6" s="6" t="str">
        <x:v>비교 인구지수</x:v>
      </x:c>
      <x:c r="K6" s="6" t="str">
        <x:v>처치 청년변화</x:v>
      </x:c>
      <x:c r="L6" s="6" t="str">
        <x:v>비교 청년변화</x:v>
      </x:c>
      <x:c r="M6" s="1"/>
      <x:c r="N6" s="1"/>
      <x:c r="O6" s="1"/>
      <x:c r="P6" s="1"/>
      <x:c r="Q6" s="1"/>
      <x:c r="R6" s="1"/>
    </x:row>
    <x:row r="7" ht="23" customHeight="1">
      <x:c r="A7" s="10" t="n">
        <x:v>2012</x:v>
      </x:c>
      <x:c r="B7" s="7" t="str">
        <x:v>사전</x:v>
      </x:c>
      <x:c r="C7" s="11" t="n">
        <x:v>37272</x:v>
      </x:c>
      <x:c r="D7" s="11" t="n">
        <x:v>27022.6666666667</x:v>
      </x:c>
      <x:c r="E7" s="9" t="n">
        <x:v>23.0199613650998</x:v>
      </x:c>
      <x:c r="F7" s="9" t="n">
        <x:v>19.2275938384551</x:v>
      </x:c>
      <x:c r="G7" s="1"/>
      <x:c r="H7" s="10" t="n">
        <x:v>2012</x:v>
      </x:c>
      <x:c r="I7" s="12" t="n">
        <x:f>C7/$C$7*100</x:f>
        <x:v>100</x:v>
      </x:c>
      <x:c r="J7" s="12" t="n">
        <x:f>D7/$D$7*100</x:f>
        <x:v>100</x:v>
      </x:c>
      <x:c r="K7" s="9" t="n">
        <x:f>E7-$E$7</x:f>
        <x:v>0</x:v>
      </x:c>
      <x:c r="L7" s="9" t="n">
        <x:f>F7-$F$7</x:f>
        <x:v>0</x:v>
      </x:c>
      <x:c r="M7" s="1"/>
      <x:c r="N7" s="1"/>
      <x:c r="O7" s="1"/>
      <x:c r="P7" s="1"/>
      <x:c r="Q7" s="1"/>
      <x:c r="R7" s="1"/>
    </x:row>
    <x:row r="8" ht="23" customHeight="1">
      <x:c r="A8" s="10" t="n">
        <x:v>2013</x:v>
      </x:c>
      <x:c r="B8" s="7" t="str">
        <x:v>사전</x:v>
      </x:c>
      <x:c r="C8" s="11" t="n">
        <x:v>36804</x:v>
      </x:c>
      <x:c r="D8" s="11" t="n">
        <x:v>27032.3333333333</x:v>
      </x:c>
      <x:c r="E8" s="9" t="n">
        <x:v>23.1713944136507</x:v>
      </x:c>
      <x:c r="F8" s="9" t="n">
        <x:v>19.0363981690828</x:v>
      </x:c>
      <x:c r="G8" s="1"/>
      <x:c r="H8" s="10" t="n">
        <x:v>2013</x:v>
      </x:c>
      <x:c r="I8" s="12" t="n">
        <x:f>C8/$C$7*100</x:f>
        <x:v>98.74436574372183</x:v>
      </x:c>
      <x:c r="J8" s="12" t="n">
        <x:f>D8/$D$7*100</x:f>
        <x:v>100.03577243795307</x:v>
      </x:c>
      <x:c r="K8" s="9" t="n">
        <x:f>E8-$E$7</x:f>
        <x:v>0.15143304855089923</x:v>
      </x:c>
      <x:c r="L8" s="9" t="n">
        <x:f>F8-$F$7</x:f>
        <x:v>-0.19119566937229848</x:v>
      </x:c>
      <x:c r="M8" s="1"/>
      <x:c r="N8" s="1"/>
      <x:c r="O8" s="1"/>
      <x:c r="P8" s="1"/>
      <x:c r="Q8" s="1"/>
      <x:c r="R8" s="1"/>
    </x:row>
    <x:row r="9" ht="23" customHeight="1">
      <x:c r="A9" s="10" t="n">
        <x:v>2014</x:v>
      </x:c>
      <x:c r="B9" s="7" t="str">
        <x:v>사전</x:v>
      </x:c>
      <x:c r="C9" s="11" t="n">
        <x:v>36361</x:v>
      </x:c>
      <x:c r="D9" s="11" t="n">
        <x:v>27016</x:v>
      </x:c>
      <x:c r="E9" s="9" t="n">
        <x:v>23.239184840901</x:v>
      </x:c>
      <x:c r="F9" s="9" t="n">
        <x:v>18.9992437892302</x:v>
      </x:c>
      <x:c r="G9" s="1"/>
      <x:c r="H9" s="10" t="n">
        <x:v>2014</x:v>
      </x:c>
      <x:c r="I9" s="12" t="n">
        <x:f>C9/$C$7*100</x:f>
        <x:v>97.5558059669457</x:v>
      </x:c>
      <x:c r="J9" s="12" t="n">
        <x:f>D9/$D$7*100</x:f>
        <x:v>99.9753293531355</x:v>
      </x:c>
      <x:c r="K9" s="9" t="n">
        <x:f>E9-$E$7</x:f>
        <x:v>0.2192234758012006</x:v>
      </x:c>
      <x:c r="L9" s="9" t="n">
        <x:f>F9-$F$7</x:f>
        <x:v>-0.22835004922490043</x:v>
      </x:c>
      <x:c r="M9" s="1"/>
      <x:c r="N9" s="1"/>
      <x:c r="O9" s="1"/>
      <x:c r="P9" s="1"/>
      <x:c r="Q9" s="1"/>
      <x:c r="R9" s="1"/>
    </x:row>
    <x:row r="10" ht="23" customHeight="1">
      <x:c r="A10" s="10" t="n">
        <x:v>2015</x:v>
      </x:c>
      <x:c r="B10" s="7" t="str">
        <x:v>사전</x:v>
      </x:c>
      <x:c r="C10" s="11" t="n">
        <x:v>35984</x:v>
      </x:c>
      <x:c r="D10" s="11" t="n">
        <x:v>27439</x:v>
      </x:c>
      <x:c r="E10" s="9" t="n">
        <x:v>23.2242107603379</x:v>
      </x:c>
      <x:c r="F10" s="9" t="n">
        <x:v>18.7755974994316</x:v>
      </x:c>
      <x:c r="G10" s="1"/>
      <x:c r="H10" s="10" t="n">
        <x:v>2015</x:v>
      </x:c>
      <x:c r="I10" s="12" t="n">
        <x:f>C10/$C$7*100</x:f>
        <x:v>96.54432281605494</x:v>
      </x:c>
      <x:c r="J10" s="12" t="n">
        <x:f>D10/$D$7*100</x:f>
        <x:v>101.5406818966792</x:v>
      </x:c>
      <x:c r="K10" s="9" t="n">
        <x:f>E10-$E$7</x:f>
        <x:v>0.20424939523810082</x:v>
      </x:c>
      <x:c r="L10" s="9" t="n">
        <x:f>F10-$F$7</x:f>
        <x:v>-0.45199633902349845</x:v>
      </x:c>
      <x:c r="M10" s="1"/>
      <x:c r="N10" s="1"/>
      <x:c r="O10" s="1"/>
      <x:c r="P10" s="1"/>
      <x:c r="Q10" s="1"/>
      <x:c r="R10" s="1"/>
    </x:row>
    <x:row r="11" ht="23" customHeight="1">
      <x:c r="A11" s="10" t="n">
        <x:v>2016</x:v>
      </x:c>
      <x:c r="B11" s="7" t="str">
        <x:v>사전</x:v>
      </x:c>
      <x:c r="C11" s="11" t="n">
        <x:v>37691</x:v>
      </x:c>
      <x:c r="D11" s="11" t="n">
        <x:v>27620</x:v>
      </x:c>
      <x:c r="E11" s="9" t="n">
        <x:v>23.3663208723568</x:v>
      </x:c>
      <x:c r="F11" s="9" t="n">
        <x:v>18.3241674199216</x:v>
      </x:c>
      <x:c r="G11" s="1"/>
      <x:c r="H11" s="10" t="n">
        <x:v>2016</x:v>
      </x:c>
      <x:c r="I11" s="12" t="n">
        <x:f>C11/$C$7*100</x:f>
        <x:v>101.12416827645418</x:v>
      </x:c>
      <x:c r="J11" s="12" t="n">
        <x:f>D11/$D$7*100</x:f>
        <x:v>102.2104899590466</x:v>
      </x:c>
      <x:c r="K11" s="9" t="n">
        <x:f>E11-$E$7</x:f>
        <x:v>0.3463595072569987</x:v>
      </x:c>
      <x:c r="L11" s="9" t="n">
        <x:f>F11-$F$7</x:f>
        <x:v>-0.903426418533499</x:v>
      </x:c>
      <x:c r="M11" s="1"/>
      <x:c r="N11" s="1"/>
      <x:c r="O11" s="1"/>
      <x:c r="P11" s="1"/>
      <x:c r="Q11" s="1"/>
      <x:c r="R11" s="1"/>
    </x:row>
    <x:row r="12" ht="23" customHeight="1">
      <x:c r="A12" s="10" t="n">
        <x:v>2017</x:v>
      </x:c>
      <x:c r="B12" s="7" t="str">
        <x:v>개관연도 제외</x:v>
      </x:c>
      <x:c r="C12" s="11"/>
      <x:c r="D12" s="11"/>
      <x:c r="E12" s="9"/>
      <x:c r="F12" s="9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</x:row>
    <x:row r="13" ht="23" customHeight="1">
      <x:c r="A13" s="10" t="n">
        <x:v>2018</x:v>
      </x:c>
      <x:c r="B13" s="7" t="str">
        <x:v>사후</x:v>
      </x:c>
      <x:c r="C13" s="11" t="n">
        <x:v>42503</x:v>
      </x:c>
      <x:c r="D13" s="11" t="n">
        <x:v>26580.6666666667</x:v>
      </x:c>
      <x:c r="E13" s="9" t="n">
        <x:v>24.1488836082159</x:v>
      </x:c>
      <x:c r="F13" s="9" t="n">
        <x:v>17.8544840892666</x:v>
      </x:c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</x:row>
    <x:row r="14" ht="23" customHeight="1">
      <x:c r="A14" s="10" t="n">
        <x:v>2019</x:v>
      </x:c>
      <x:c r="B14" s="7" t="str">
        <x:v>사후</x:v>
      </x:c>
      <x:c r="C14" s="11" t="n">
        <x:v>40970</x:v>
      </x:c>
      <x:c r="D14" s="11" t="n">
        <x:v>26092</x:v>
      </x:c>
      <x:c r="E14" s="9" t="n">
        <x:v>23.5025628508665</x:v>
      </x:c>
      <x:c r="F14" s="9" t="n">
        <x:v>18.0101550028486</x:v>
      </x:c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</x:row>
    <x:row r="15" ht="23" customHeight="1">
      <x:c r="A15" s="10" t="n">
        <x:v>2020</x:v>
      </x:c>
      <x:c r="B15" s="7" t="str">
        <x:v>사후</x:v>
      </x:c>
      <x:c r="C15" s="11" t="n">
        <x:v>41043</x:v>
      </x:c>
      <x:c r="D15" s="11" t="n">
        <x:v>25660.3333333333</x:v>
      </x:c>
      <x:c r="E15" s="9" t="n">
        <x:v>23.4899982944717</x:v>
      </x:c>
      <x:c r="F15" s="9" t="n">
        <x:v>18.0026051144575</x:v>
      </x:c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</x:row>
    <x:row r="16" ht="23" customHeight="1">
      <x:c r="A16" s="10" t="n">
        <x:v>2021</x:v>
      </x:c>
      <x:c r="B16" s="7" t="str">
        <x:v>사후</x:v>
      </x:c>
      <x:c r="C16" s="11" t="n">
        <x:v>40351</x:v>
      </x:c>
      <x:c r="D16" s="11" t="n">
        <x:v>25678</x:v>
      </x:c>
      <x:c r="E16" s="9" t="n">
        <x:v>23.1344948080593</x:v>
      </x:c>
      <x:c r="F16" s="9" t="n">
        <x:v>18.3078731427738</x:v>
      </x:c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</x:row>
    <x:row r="17" ht="23" customHeight="1">
      <x:c r="A17" s="10" t="n">
        <x:v>2022</x:v>
      </x:c>
      <x:c r="B17" s="7" t="str">
        <x:v>사후</x:v>
      </x:c>
      <x:c r="C17" s="11" t="n">
        <x:v>40701</x:v>
      </x:c>
      <x:c r="D17" s="11" t="n">
        <x:v>25939.3333333333</x:v>
      </x:c>
      <x:c r="E17" s="9" t="n">
        <x:v>22.5301589641532</x:v>
      </x:c>
      <x:c r="F17" s="9" t="n">
        <x:v>18.2585470014576</x:v>
      </x:c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</x:row>
    <x:row r="21" ht="32" customHeight="1">
      <x:c r="A21" s="3" t="str">
        <x:v>비교 값은 고정 비교 3동의 단순평균입니다. 인구지수는 첫 사전연도=100, 청년변화는 첫 사전연도 대비 %p입니다.</x:v>
      </x:c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</x:row>
    <x:row r="49" ht="2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</x:row>
    <x:row r="51" ht="2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</x:row>
    <x:row r="56" ht="2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</x:row>
    <x:row r="57" ht="2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</x:row>
    <x:row r="58" ht="2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</x:row>
    <x:row r="59" ht="2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</x:row>
    <x:row r="60" ht="2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</x:row>
    <x:row r="61" ht="2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</x:row>
    <x:row r="62" ht="2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</x:row>
    <x:row r="63" ht="2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</x:row>
    <x:row r="64" ht="2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</x:row>
    <x:row r="65" ht="2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</x:row>
    <x:row r="66" ht="2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</x:row>
    <x:row r="67" ht="23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</x:row>
    <x:row r="68" ht="23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</x:row>
  </x:sheetData>
  <x:mergeCells>
    <x:mergeCell ref="A3:R3"/>
    <x:mergeCell ref="A21:R21"/>
  </x:mergeCells>
  <x:pageMargins left="0.7" right="0.7" top="0.75" bottom="0.75" header="0.3" footer="0.3"/>
  <x:drawing xmlns:r="http://schemas.openxmlformats.org/officeDocument/2006/relationships" r:id="Re8d7d58648444e5a"/>
</x:worksheet>
</file>

<file path=xl/worksheets/sheet8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0.25" hidden="0" customWidth="1"/>
    <x:col min="2" max="2" width="10.25" hidden="0" customWidth="1"/>
    <x:col min="3" max="3" width="10.25" hidden="0" customWidth="1"/>
    <x:col min="4" max="4" width="10.25" hidden="0" customWidth="1"/>
    <x:col min="5" max="5" width="10.25" hidden="0" customWidth="1"/>
    <x:col min="6" max="6" width="10.25" hidden="0" customWidth="1"/>
    <x:col min="7" max="7" width="10.25" hidden="0" customWidth="1"/>
    <x:col min="8" max="8" width="10.25" hidden="0" customWidth="1"/>
    <x:col min="9" max="9" width="10.25" hidden="0" customWidth="1"/>
    <x:col min="10" max="10" width="10.25" hidden="0" customWidth="1"/>
    <x:col min="11" max="11" width="10.25" hidden="0" customWidth="1"/>
    <x:col min="12" max="12" width="10.25" hidden="0" customWidth="1"/>
    <x:col min="13" max="13" width="10.25" hidden="0" customWidth="1"/>
    <x:col min="14" max="14" width="10.25" hidden="0" customWidth="1"/>
    <x:col min="15" max="15" width="10.25" hidden="0" customWidth="1"/>
    <x:col min="16" max="16" width="10.25" hidden="0" customWidth="1"/>
    <x:col min="17" max="17" width="10.25" hidden="0" customWidth="1"/>
    <x:col min="18" max="18" width="10.25" hidden="0" customWidth="1"/>
  </x:cols>
  <x:sheetData>
    <x:row r="1" ht="28" customHeight="1">
      <x:c r="A1" s="2" t="str">
        <x:v>그림 7 고색뉴지엄 기준연도 대비 격차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 ht="23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</x:row>
    <x:row r="3" ht="32" customHeight="1">
      <x:c r="A3" s="3" t="str">
        <x:v>수치 출처 사건시점_격차계수.csv / 고색뉴지엄 / 개관 2017년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</x:row>
    <x:row r="5" ht="23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</x:row>
    <x:row r="6" ht="64" customHeight="1">
      <x:c r="A6" s="6" t="str">
        <x:v>개관 대비 연도</x:v>
      </x:c>
      <x:c r="B6" s="6" t="str">
        <x:v>연도</x:v>
      </x:c>
      <x:c r="C6" s="6" t="str">
        <x:v>인구 격차(명)</x:v>
      </x:c>
      <x:c r="D6" s="6" t="str">
        <x:v>청년 격차(%p)</x:v>
      </x:c>
      <x:c r="E6" s="6" t="str">
        <x:v>순이동 격차(명)</x:v>
      </x:c>
      <x:c r="F6" s="6" t="str">
        <x:v>구분</x:v>
      </x:c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</x:row>
    <x:row r="7" ht="23" customHeight="1">
      <x:c r="A7" s="10" t="n">
        <x:v>-5</x:v>
      </x:c>
      <x:c r="B7" s="10" t="n">
        <x:v>2012</x:v>
      </x:c>
      <x:c r="C7" s="11" t="n">
        <x:v>178.333333333345</x:v>
      </x:c>
      <x:c r="D7" s="9" t="n">
        <x:v>-1.24978592579045</x:v>
      </x:c>
      <x:c r="E7" s="11" t="n">
        <x:v>-2052.66666666667</x:v>
      </x:c>
      <x:c r="F7" s="7" t="str">
        <x:v>사전</x:v>
      </x:c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</x:row>
    <x:row r="8" ht="23" customHeight="1">
      <x:c r="A8" s="10" t="n">
        <x:v>-4</x:v>
      </x:c>
      <x:c r="B8" s="10" t="n">
        <x:v>2013</x:v>
      </x:c>
      <x:c r="C8" s="11" t="n">
        <x:v>-299.333333333369</x:v>
      </x:c>
      <x:c r="D8" s="9" t="n">
        <x:v>-0.907157207867338</x:v>
      </x:c>
      <x:c r="E8" s="11" t="n">
        <x:v>-1930.33333333335</x:v>
      </x:c>
      <x:c r="F8" s="7" t="str">
        <x:v>사전</x:v>
      </x:c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</x:row>
    <x:row r="9" ht="23" customHeight="1">
      <x:c r="A9" s="10" t="n">
        <x:v>-3</x:v>
      </x:c>
      <x:c r="B9" s="10" t="n">
        <x:v>2014</x:v>
      </x:c>
      <x:c r="C9" s="11" t="n">
        <x:v>-725.999999999994</x:v>
      </x:c>
      <x:c r="D9" s="9" t="n">
        <x:v>-0.802212400764464</x:v>
      </x:c>
      <x:c r="E9" s="11" t="n">
        <x:v>-1938.33333333333</x:v>
      </x:c>
      <x:c r="F9" s="7" t="str">
        <x:v>사전</x:v>
      </x:c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</x:row>
    <x:row r="10" ht="23" customHeight="1">
      <x:c r="A10" s="10" t="n">
        <x:v>-2</x:v>
      </x:c>
      <x:c r="B10" s="10" t="n">
        <x:v>2015</x:v>
      </x:c>
      <x:c r="C10" s="11" t="n">
        <x:v>-1526.00000000002</x:v>
      </x:c>
      <x:c r="D10" s="9" t="n">
        <x:v>-0.59354019152883</x:v>
      </x:c>
      <x:c r="E10" s="11" t="n">
        <x:v>-2321</x:v>
      </x:c>
      <x:c r="F10" s="7" t="str">
        <x:v>사전</x:v>
      </x:c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</x:row>
    <x:row r="11" ht="23" customHeight="1">
      <x:c r="A11" s="10" t="n">
        <x:v>-1</x:v>
      </x:c>
      <x:c r="B11" s="10" t="n">
        <x:v>2016</x:v>
      </x:c>
      <x:c r="C11" s="11" t="n">
        <x:v>0</x:v>
      </x:c>
      <x:c r="D11" s="9" t="n">
        <x:v>0</x:v>
      </x:c>
      <x:c r="E11" s="11" t="n">
        <x:v>0</x:v>
      </x:c>
      <x:c r="F11" s="7" t="str">
        <x:v>기준연도</x:v>
      </x:c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</x:row>
    <x:row r="12" ht="23" customHeight="1">
      <x:c r="A12" s="10" t="n">
        <x:v>0</x:v>
      </x:c>
      <x:c r="B12" s="10" t="n">
        <x:v>2017</x:v>
      </x:c>
      <x:c r="C12" s="11"/>
      <x:c r="D12" s="9"/>
      <x:c r="E12" s="11"/>
      <x:c r="F12" s="7" t="str">
        <x:v>개관연도 제외</x:v>
      </x:c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</x:row>
    <x:row r="13" ht="23" customHeight="1">
      <x:c r="A13" s="10" t="n">
        <x:v>1</x:v>
      </x:c>
      <x:c r="B13" s="10" t="n">
        <x:v>2018</x:v>
      </x:c>
      <x:c r="C13" s="11" t="n">
        <x:v>5851.33333333334</x:v>
      </x:c>
      <x:c r="D13" s="9" t="n">
        <x:v>1.25224606651411</x:v>
      </x:c>
      <x:c r="E13" s="11" t="n">
        <x:v>4301</x:v>
      </x:c>
      <x:c r="F13" s="7" t="str">
        <x:v>사후</x:v>
      </x:c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</x:row>
    <x:row r="14" ht="23" customHeight="1">
      <x:c r="A14" s="10" t="n">
        <x:v>2</x:v>
      </x:c>
      <x:c r="B14" s="10" t="n">
        <x:v>2019</x:v>
      </x:c>
      <x:c r="C14" s="11" t="n">
        <x:v>4807</x:v>
      </x:c>
      <x:c r="D14" s="9" t="n">
        <x:v>0.450254395582714</x:v>
      </x:c>
      <x:c r="E14" s="11" t="n">
        <x:v>-2660.66666666667</x:v>
      </x:c>
      <x:c r="F14" s="7" t="str">
        <x:v>사후</x:v>
      </x:c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</x:row>
    <x:row r="15" ht="23" customHeight="1">
      <x:c r="A15" s="10" t="n">
        <x:v>3</x:v>
      </x:c>
      <x:c r="B15" s="10" t="n">
        <x:v>2020</x:v>
      </x:c>
      <x:c r="C15" s="11" t="n">
        <x:v>5311.66666666667</x:v>
      </x:c>
      <x:c r="D15" s="9" t="n">
        <x:v>0.445239727579007</x:v>
      </x:c>
      <x:c r="E15" s="11" t="n">
        <x:v>-1058</x:v>
      </x:c>
      <x:c r="F15" s="7" t="str">
        <x:v>사후</x:v>
      </x:c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</x:row>
    <x:row r="16" ht="23" customHeight="1">
      <x:c r="A16" s="10" t="n">
        <x:v>4</x:v>
      </x:c>
      <x:c r="B16" s="10" t="n">
        <x:v>2021</x:v>
      </x:c>
      <x:c r="C16" s="11" t="n">
        <x:v>4602</x:v>
      </x:c>
      <x:c r="D16" s="9" t="n">
        <x:v>-0.215531787149675</x:v>
      </x:c>
      <x:c r="E16" s="11" t="n">
        <x:v>-2180.33333333333</x:v>
      </x:c>
      <x:c r="F16" s="7" t="str">
        <x:v>사후</x:v>
      </x:c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</x:row>
    <x:row r="17" ht="23" customHeight="1">
      <x:c r="A17" s="10" t="n">
        <x:v>5</x:v>
      </x:c>
      <x:c r="B17" s="10" t="n">
        <x:v>2022</x:v>
      </x:c>
      <x:c r="C17" s="11" t="n">
        <x:v>4690.66666666667</x:v>
      </x:c>
      <x:c r="D17" s="9" t="n">
        <x:v>-0.770541489739617</x:v>
      </x:c>
      <x:c r="E17" s="11" t="n">
        <x:v>-1474.33333333334</x:v>
      </x:c>
      <x:c r="F17" s="7" t="str">
        <x:v>사후</x:v>
      </x:c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</x:row>
    <x:row r="21" ht="32" customHeight="1">
      <x:c r="A21" s="3" t="str">
        <x:v>마지막 사전연도(-1)를 기준으로 한 처치-비교 격차의 변화입니다. 개관연도(0)는 제외했으며 기준연도의 0은 실제 기준값입니다.</x:v>
      </x:c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</x:row>
    <x:row r="49" ht="2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</x:row>
    <x:row r="51" ht="2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</x:row>
    <x:row r="56" ht="2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</x:row>
    <x:row r="57" ht="2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</x:row>
    <x:row r="58" ht="2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</x:row>
    <x:row r="59" ht="2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</x:row>
    <x:row r="60" ht="2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</x:row>
    <x:row r="61" ht="2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</x:row>
    <x:row r="62" ht="2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</x:row>
    <x:row r="63" ht="2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</x:row>
    <x:row r="64" ht="2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</x:row>
    <x:row r="65" ht="2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</x:row>
    <x:row r="66" ht="2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</x:row>
    <x:row r="67" ht="23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</x:row>
    <x:row r="68" ht="23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</x:row>
  </x:sheetData>
  <x:mergeCells>
    <x:mergeCell ref="A3:R3"/>
    <x:mergeCell ref="A21:R21"/>
  </x:mergeCells>
  <x:pageMargins left="0.7" right="0.7" top="0.75" bottom="0.75" header="0.3" footer="0.3"/>
  <x:drawing xmlns:r="http://schemas.openxmlformats.org/officeDocument/2006/relationships" r:id="Ref78f38676b944f7"/>
</x:worksheet>
</file>

<file path=xl/worksheets/sheet9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0.25" hidden="0" customWidth="1"/>
    <x:col min="2" max="2" width="10.25" hidden="0" customWidth="1"/>
    <x:col min="3" max="3" width="10.25" hidden="0" customWidth="1"/>
    <x:col min="4" max="4" width="10.25" hidden="0" customWidth="1"/>
    <x:col min="5" max="5" width="10.25" hidden="0" customWidth="1"/>
    <x:col min="6" max="6" width="10.25" hidden="0" customWidth="1"/>
    <x:col min="7" max="7" width="10.25" hidden="0" customWidth="1"/>
    <x:col min="8" max="8" width="10.25" hidden="0" customWidth="1"/>
    <x:col min="9" max="9" width="10.25" hidden="0" customWidth="1"/>
    <x:col min="10" max="10" width="10.25" hidden="0" customWidth="1"/>
    <x:col min="11" max="11" width="10.25" hidden="0" customWidth="1"/>
    <x:col min="12" max="12" width="10.25" hidden="0" customWidth="1"/>
    <x:col min="13" max="13" width="10.25" hidden="0" customWidth="1"/>
    <x:col min="14" max="14" width="10.25" hidden="0" customWidth="1"/>
    <x:col min="15" max="15" width="10.25" hidden="0" customWidth="1"/>
    <x:col min="16" max="16" width="10.25" hidden="0" customWidth="1"/>
    <x:col min="17" max="17" width="10.25" hidden="0" customWidth="1"/>
    <x:col min="18" max="18" width="10.25" hidden="0" customWidth="1"/>
  </x:cols>
  <x:sheetData>
    <x:row r="1" ht="28" customHeight="1">
      <x:c r="A1" s="2" t="str">
        <x:v>그림 8 국립현대미술관 청주 인구와 청년비율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 ht="23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</x:row>
    <x:row r="3" ht="32" customHeight="1">
      <x:c r="A3" s="3" t="str">
        <x:v>수치 출처 그림_연도별처치비교값.csv / 국립현대미술관 청주 / 개관 2018년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</x:row>
    <x:row r="5" ht="23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</x:row>
    <x:row r="6" ht="64" customHeight="1">
      <x:c r="A6" s="6" t="str">
        <x:v>연도</x:v>
      </x:c>
      <x:c r="B6" s="6" t="str">
        <x:v>구분</x:v>
      </x:c>
      <x:c r="C6" s="6" t="str">
        <x:v>처치 인구(명)</x:v>
      </x:c>
      <x:c r="D6" s="6" t="str">
        <x:v>비교 인구(명)</x:v>
      </x:c>
      <x:c r="E6" s="6" t="str">
        <x:v>처치 청년(%)</x:v>
      </x:c>
      <x:c r="F6" s="6" t="str">
        <x:v>비교 청년(%)</x:v>
      </x:c>
      <x:c r="G6" s="1"/>
      <x:c r="H6" s="6" t="str">
        <x:v>연도</x:v>
      </x:c>
      <x:c r="I6" s="6" t="str">
        <x:v>처치 인구지수</x:v>
      </x:c>
      <x:c r="J6" s="6" t="str">
        <x:v>비교 인구지수</x:v>
      </x:c>
      <x:c r="K6" s="6" t="str">
        <x:v>처치 청년변화</x:v>
      </x:c>
      <x:c r="L6" s="6" t="str">
        <x:v>비교 청년변화</x:v>
      </x:c>
      <x:c r="M6" s="1"/>
      <x:c r="N6" s="1"/>
      <x:c r="O6" s="1"/>
      <x:c r="P6" s="1"/>
      <x:c r="Q6" s="1"/>
      <x:c r="R6" s="1"/>
    </x:row>
    <x:row r="7" ht="23" customHeight="1">
      <x:c r="A7" s="10" t="n">
        <x:v>2013</x:v>
      </x:c>
      <x:c r="B7" s="7" t="str">
        <x:v>사전</x:v>
      </x:c>
      <x:c r="C7" s="11" t="n">
        <x:v>12165</x:v>
      </x:c>
      <x:c r="D7" s="11" t="n">
        <x:v>11573.3333333333</x:v>
      </x:c>
      <x:c r="E7" s="9" t="n">
        <x:v>24.0032881216605</x:v>
      </x:c>
      <x:c r="F7" s="9" t="n">
        <x:v>23.4496758069037</x:v>
      </x:c>
      <x:c r="G7" s="1"/>
      <x:c r="H7" s="10" t="n">
        <x:v>2013</x:v>
      </x:c>
      <x:c r="I7" s="12" t="n">
        <x:f>C7/$C$7*100</x:f>
        <x:v>100</x:v>
      </x:c>
      <x:c r="J7" s="12" t="n">
        <x:f>D7/$D$7*100</x:f>
        <x:v>100</x:v>
      </x:c>
      <x:c r="K7" s="9" t="n">
        <x:f>E7-$E$7</x:f>
        <x:v>0</x:v>
      </x:c>
      <x:c r="L7" s="9" t="n">
        <x:f>F7-$F$7</x:f>
        <x:v>0</x:v>
      </x:c>
      <x:c r="M7" s="1"/>
      <x:c r="N7" s="1"/>
      <x:c r="O7" s="1"/>
      <x:c r="P7" s="1"/>
      <x:c r="Q7" s="1"/>
      <x:c r="R7" s="1"/>
    </x:row>
    <x:row r="8" ht="23" customHeight="1">
      <x:c r="A8" s="10" t="n">
        <x:v>2014</x:v>
      </x:c>
      <x:c r="B8" s="7" t="str">
        <x:v>사전</x:v>
      </x:c>
      <x:c r="C8" s="11" t="n">
        <x:v>11970</x:v>
      </x:c>
      <x:c r="D8" s="11" t="n">
        <x:v>11799.3333333333</x:v>
      </x:c>
      <x:c r="E8" s="9" t="n">
        <x:v>23.2581453634085</x:v>
      </x:c>
      <x:c r="F8" s="9" t="n">
        <x:v>23.8189023730351</x:v>
      </x:c>
      <x:c r="G8" s="1"/>
      <x:c r="H8" s="10" t="n">
        <x:v>2014</x:v>
      </x:c>
      <x:c r="I8" s="12" t="n">
        <x:f>C8/$C$7*100</x:f>
        <x:v>98.39704069050555</x:v>
      </x:c>
      <x:c r="J8" s="12" t="n">
        <x:f>D8/$D$7*100</x:f>
        <x:v>101.95276497695853</x:v>
      </x:c>
      <x:c r="K8" s="9" t="n">
        <x:f>E8-$E$7</x:f>
        <x:v>-0.7451427582520012</x:v>
      </x:c>
      <x:c r="L8" s="9" t="n">
        <x:f>F8-$F$7</x:f>
        <x:v>0.3692265661314025</x:v>
      </x:c>
      <x:c r="M8" s="1"/>
      <x:c r="N8" s="1"/>
      <x:c r="O8" s="1"/>
      <x:c r="P8" s="1"/>
      <x:c r="Q8" s="1"/>
      <x:c r="R8" s="1"/>
    </x:row>
    <x:row r="9" ht="23" customHeight="1">
      <x:c r="A9" s="10" t="n">
        <x:v>2015</x:v>
      </x:c>
      <x:c r="B9" s="7" t="str">
        <x:v>사전</x:v>
      </x:c>
      <x:c r="C9" s="11" t="n">
        <x:v>11572</x:v>
      </x:c>
      <x:c r="D9" s="11" t="n">
        <x:v>11469.3333333333</x:v>
      </x:c>
      <x:c r="E9" s="9" t="n">
        <x:v>22.8050466643623</x:v>
      </x:c>
      <x:c r="F9" s="9" t="n">
        <x:v>23.2664696456518</x:v>
      </x:c>
      <x:c r="G9" s="1"/>
      <x:c r="H9" s="10" t="n">
        <x:v>2015</x:v>
      </x:c>
      <x:c r="I9" s="12" t="n">
        <x:f>C9/$C$7*100</x:f>
        <x:v>95.12535963830662</x:v>
      </x:c>
      <x:c r="J9" s="12" t="n">
        <x:f>D9/$D$7*100</x:f>
        <x:v>99.10138248847926</x:v>
      </x:c>
      <x:c r="K9" s="9" t="n">
        <x:f>E9-$E$7</x:f>
        <x:v>-1.1982414572981988</x:v>
      </x:c>
      <x:c r="L9" s="9" t="n">
        <x:f>F9-$F$7</x:f>
        <x:v>-0.18320616125189915</x:v>
      </x:c>
      <x:c r="M9" s="1"/>
      <x:c r="N9" s="1"/>
      <x:c r="O9" s="1"/>
      <x:c r="P9" s="1"/>
      <x:c r="Q9" s="1"/>
      <x:c r="R9" s="1"/>
    </x:row>
    <x:row r="10" ht="23" customHeight="1">
      <x:c r="A10" s="10" t="n">
        <x:v>2016</x:v>
      </x:c>
      <x:c r="B10" s="7" t="str">
        <x:v>사전</x:v>
      </x:c>
      <x:c r="C10" s="11" t="n">
        <x:v>12838</x:v>
      </x:c>
      <x:c r="D10" s="11" t="n">
        <x:v>11208</x:v>
      </x:c>
      <x:c r="E10" s="9" t="n">
        <x:v>22.4411902165446</x:v>
      </x:c>
      <x:c r="F10" s="9" t="n">
        <x:v>22.7780656448529</x:v>
      </x:c>
      <x:c r="G10" s="1"/>
      <x:c r="H10" s="10" t="n">
        <x:v>2016</x:v>
      </x:c>
      <x:c r="I10" s="12" t="n">
        <x:f>C10/$C$7*100</x:f>
        <x:v>105.53226469379366</x:v>
      </x:c>
      <x:c r="J10" s="12" t="n">
        <x:f>D10/$D$7*100</x:f>
        <x:v>96.84331797235052</x:v>
      </x:c>
      <x:c r="K10" s="9" t="n">
        <x:f>E10-$E$7</x:f>
        <x:v>-1.5620979051158983</x:v>
      </x:c>
      <x:c r="L10" s="9" t="n">
        <x:f>F10-$F$7</x:f>
        <x:v>-0.671610162050797</x:v>
      </x:c>
      <x:c r="M10" s="1"/>
      <x:c r="N10" s="1"/>
      <x:c r="O10" s="1"/>
      <x:c r="P10" s="1"/>
      <x:c r="Q10" s="1"/>
      <x:c r="R10" s="1"/>
    </x:row>
    <x:row r="11" ht="23" customHeight="1">
      <x:c r="A11" s="10" t="n">
        <x:v>2017</x:v>
      </x:c>
      <x:c r="B11" s="7" t="str">
        <x:v>사전</x:v>
      </x:c>
      <x:c r="C11" s="11" t="n">
        <x:v>12702</x:v>
      </x:c>
      <x:c r="D11" s="11" t="n">
        <x:v>10869</x:v>
      </x:c>
      <x:c r="E11" s="9" t="n">
        <x:v>21.9020626672965</x:v>
      </x:c>
      <x:c r="F11" s="9" t="n">
        <x:v>22.2838352436232</x:v>
      </x:c>
      <x:c r="G11" s="1"/>
      <x:c r="H11" s="10" t="n">
        <x:v>2017</x:v>
      </x:c>
      <x:c r="I11" s="12" t="n">
        <x:f>C11/$C$7*100</x:f>
        <x:v>104.41430332922319</x:v>
      </x:c>
      <x:c r="J11" s="12" t="n">
        <x:f>D11/$D$7*100</x:f>
        <x:v>93.91417050691273</x:v>
      </x:c>
      <x:c r="K11" s="9" t="n">
        <x:f>E11-$E$7</x:f>
        <x:v>-2.1012254543639983</x:v>
      </x:c>
      <x:c r="L11" s="9" t="n">
        <x:f>F11-$F$7</x:f>
        <x:v>-1.1658405632804971</x:v>
      </x:c>
      <x:c r="M11" s="1"/>
      <x:c r="N11" s="1"/>
      <x:c r="O11" s="1"/>
      <x:c r="P11" s="1"/>
      <x:c r="Q11" s="1"/>
      <x:c r="R11" s="1"/>
    </x:row>
    <x:row r="12" ht="23" customHeight="1">
      <x:c r="A12" s="10" t="n">
        <x:v>2018</x:v>
      </x:c>
      <x:c r="B12" s="7" t="str">
        <x:v>개관연도 제외</x:v>
      </x:c>
      <x:c r="C12" s="11"/>
      <x:c r="D12" s="11"/>
      <x:c r="E12" s="9"/>
      <x:c r="F12" s="9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</x:row>
    <x:row r="13" ht="23" customHeight="1">
      <x:c r="A13" s="10" t="n">
        <x:v>2019</x:v>
      </x:c>
      <x:c r="B13" s="7" t="str">
        <x:v>사후</x:v>
      </x:c>
      <x:c r="C13" s="11" t="n">
        <x:v>11876</x:v>
      </x:c>
      <x:c r="D13" s="11" t="n">
        <x:v>10015.6666666667</x:v>
      </x:c>
      <x:c r="E13" s="9" t="n">
        <x:v>21.1771640282923</x:v>
      </x:c>
      <x:c r="F13" s="9" t="n">
        <x:v>21.6889513509448</x:v>
      </x:c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</x:row>
    <x:row r="14" ht="23" customHeight="1">
      <x:c r="A14" s="10" t="n">
        <x:v>2020</x:v>
      </x:c>
      <x:c r="B14" s="7" t="str">
        <x:v>사후</x:v>
      </x:c>
      <x:c r="C14" s="11" t="n">
        <x:v>13035</x:v>
      </x:c>
      <x:c r="D14" s="11" t="n">
        <x:v>9571.66666666667</x:v>
      </x:c>
      <x:c r="E14" s="9" t="n">
        <x:v>22.0790180283851</x:v>
      </x:c>
      <x:c r="F14" s="9" t="n">
        <x:v>21.1297369383435</x:v>
      </x:c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</x:row>
    <x:row r="15" ht="23" customHeight="1">
      <x:c r="A15" s="10" t="n">
        <x:v>2021</x:v>
      </x:c>
      <x:c r="B15" s="7" t="str">
        <x:v>사후</x:v>
      </x:c>
      <x:c r="C15" s="11" t="n">
        <x:v>13379</x:v>
      </x:c>
      <x:c r="D15" s="11" t="n">
        <x:v>9380.66666666667</x:v>
      </x:c>
      <x:c r="E15" s="9" t="n">
        <x:v>22.3185589356454</x:v>
      </x:c>
      <x:c r="F15" s="9" t="n">
        <x:v>21.0386352324403</x:v>
      </x:c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</x:row>
    <x:row r="16" ht="23" customHeight="1">
      <x:c r="A16" s="10" t="n">
        <x:v>2022</x:v>
      </x:c>
      <x:c r="B16" s="7" t="str">
        <x:v>사후</x:v>
      </x:c>
      <x:c r="C16" s="11" t="n">
        <x:v>13276</x:v>
      </x:c>
      <x:c r="D16" s="11" t="n">
        <x:v>9703</x:v>
      </x:c>
      <x:c r="E16" s="9" t="n">
        <x:v>22.4841819825249</x:v>
      </x:c>
      <x:c r="F16" s="9" t="n">
        <x:v>22.2318879910926</x:v>
      </x:c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</x:row>
    <x:row r="17" ht="23" customHeight="1">
      <x:c r="A17" s="10" t="n">
        <x:v>2023</x:v>
      </x:c>
      <x:c r="B17" s="7" t="str">
        <x:v>사후</x:v>
      </x:c>
      <x:c r="C17" s="11" t="n">
        <x:v>13102</x:v>
      </x:c>
      <x:c r="D17" s="11" t="n">
        <x:v>10214.6666666667</x:v>
      </x:c>
      <x:c r="E17" s="9" t="n">
        <x:v>22.5767058464356</x:v>
      </x:c>
      <x:c r="F17" s="9" t="n">
        <x:v>22.9633713699653</x:v>
      </x:c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</x:row>
    <x:row r="21" ht="32" customHeight="1">
      <x:c r="A21" s="3" t="str">
        <x:v>비교 값은 고정 비교 3동의 단순평균입니다. 인구지수는 첫 사전연도=100, 청년변화는 첫 사전연도 대비 %p입니다.</x:v>
      </x:c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</x:row>
    <x:row r="49" ht="2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</x:row>
    <x:row r="51" ht="2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</x:row>
    <x:row r="56" ht="2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</x:row>
    <x:row r="57" ht="2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</x:row>
    <x:row r="58" ht="2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</x:row>
    <x:row r="59" ht="2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</x:row>
    <x:row r="60" ht="2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</x:row>
    <x:row r="61" ht="2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</x:row>
    <x:row r="62" ht="2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</x:row>
    <x:row r="63" ht="2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</x:row>
    <x:row r="64" ht="2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</x:row>
    <x:row r="65" ht="2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</x:row>
    <x:row r="66" ht="2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</x:row>
    <x:row r="67" ht="23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</x:row>
    <x:row r="68" ht="23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</x:row>
  </x:sheetData>
  <x:mergeCells>
    <x:mergeCell ref="A3:R3"/>
    <x:mergeCell ref="A21:R21"/>
  </x:mergeCells>
  <x:pageMargins left="0.7" right="0.7" top="0.75" bottom="0.75" header="0.3" footer="0.3"/>
  <x:drawing xmlns:r="http://schemas.openxmlformats.org/officeDocument/2006/relationships" r:id="R7cc3ab342d45402f"/>
</x:worksheet>
</file>

<file path=xl/worksheets/sheet10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0.25" hidden="0" customWidth="1"/>
    <x:col min="2" max="2" width="10.25" hidden="0" customWidth="1"/>
    <x:col min="3" max="3" width="10.25" hidden="0" customWidth="1"/>
    <x:col min="4" max="4" width="10.25" hidden="0" customWidth="1"/>
    <x:col min="5" max="5" width="10.25" hidden="0" customWidth="1"/>
    <x:col min="6" max="6" width="10.25" hidden="0" customWidth="1"/>
    <x:col min="7" max="7" width="10.25" hidden="0" customWidth="1"/>
    <x:col min="8" max="8" width="10.25" hidden="0" customWidth="1"/>
    <x:col min="9" max="9" width="10.25" hidden="0" customWidth="1"/>
    <x:col min="10" max="10" width="10.25" hidden="0" customWidth="1"/>
    <x:col min="11" max="11" width="10.25" hidden="0" customWidth="1"/>
    <x:col min="12" max="12" width="10.25" hidden="0" customWidth="1"/>
    <x:col min="13" max="13" width="10.25" hidden="0" customWidth="1"/>
    <x:col min="14" max="14" width="10.25" hidden="0" customWidth="1"/>
    <x:col min="15" max="15" width="10.25" hidden="0" customWidth="1"/>
    <x:col min="16" max="16" width="10.25" hidden="0" customWidth="1"/>
    <x:col min="17" max="17" width="10.25" hidden="0" customWidth="1"/>
    <x:col min="18" max="18" width="10.25" hidden="0" customWidth="1"/>
  </x:cols>
  <x:sheetData>
    <x:row r="1" ht="28" customHeight="1">
      <x:c r="A1" s="2" t="str">
        <x:v>그림 9 국립현대미술관 청주 기준연도 대비 격차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 ht="23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</x:row>
    <x:row r="3" ht="32" customHeight="1">
      <x:c r="A3" s="3" t="str">
        <x:v>수치 출처 사건시점_격차계수.csv / 국립현대미술관 청주 / 개관 2018년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</x:row>
    <x:row r="5" ht="23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</x:row>
    <x:row r="6" ht="64" customHeight="1">
      <x:c r="A6" s="6" t="str">
        <x:v>개관 대비 연도</x:v>
      </x:c>
      <x:c r="B6" s="6" t="str">
        <x:v>연도</x:v>
      </x:c>
      <x:c r="C6" s="6" t="str">
        <x:v>인구 격차(명)</x:v>
      </x:c>
      <x:c r="D6" s="6" t="str">
        <x:v>청년 격차(%p)</x:v>
      </x:c>
      <x:c r="E6" s="6" t="str">
        <x:v>순이동 격차(명)</x:v>
      </x:c>
      <x:c r="F6" s="6" t="str">
        <x:v>구분</x:v>
      </x:c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</x:row>
    <x:row r="7" ht="23" customHeight="1">
      <x:c r="A7" s="10" t="n">
        <x:v>-5</x:v>
      </x:c>
      <x:c r="B7" s="10" t="n">
        <x:v>2013</x:v>
      </x:c>
      <x:c r="C7" s="11" t="n">
        <x:v>-1241.33333333335</x:v>
      </x:c>
      <x:c r="D7" s="9" t="n">
        <x:v>0.935384891083599</x:v>
      </x:c>
      <x:c r="E7" s="11" t="n">
        <x:v>-623.999999999999</x:v>
      </x:c>
      <x:c r="F7" s="7" t="str">
        <x:v>사전</x:v>
      </x:c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</x:row>
    <x:row r="8" ht="23" customHeight="1">
      <x:c r="A8" s="10" t="n">
        <x:v>-4</x:v>
      </x:c>
      <x:c r="B8" s="10" t="n">
        <x:v>2014</x:v>
      </x:c>
      <x:c r="C8" s="11" t="n">
        <x:v>-1662.33333333334</x:v>
      </x:c>
      <x:c r="D8" s="9" t="n">
        <x:v>-0.178984433299883</x:v>
      </x:c>
      <x:c r="E8" s="11" t="n">
        <x:v>-612.333333333335</x:v>
      </x:c>
      <x:c r="F8" s="7" t="str">
        <x:v>사전</x:v>
      </x:c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</x:row>
    <x:row r="9" ht="23" customHeight="1">
      <x:c r="A9" s="10" t="n">
        <x:v>-3</x:v>
      </x:c>
      <x:c r="B9" s="10" t="n">
        <x:v>2015</x:v>
      </x:c>
      <x:c r="C9" s="11" t="n">
        <x:v>-1730.33333333333</x:v>
      </x:c>
      <x:c r="D9" s="9" t="n">
        <x:v>-0.0796504049628526</x:v>
      </x:c>
      <x:c r="E9" s="11" t="n">
        <x:v>-261.666666666666</x:v>
      </x:c>
      <x:c r="F9" s="7" t="str">
        <x:v>사전</x:v>
      </x:c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</x:row>
    <x:row r="10" ht="23" customHeight="1">
      <x:c r="A10" s="10" t="n">
        <x:v>-2</x:v>
      </x:c>
      <x:c r="B10" s="10" t="n">
        <x:v>2016</x:v>
      </x:c>
      <x:c r="C10" s="11" t="n">
        <x:v>-203.000000000009</x:v>
      </x:c>
      <x:c r="D10" s="9" t="n">
        <x:v>0.0448971480183818</x:v>
      </x:c>
      <x:c r="E10" s="11" t="n">
        <x:v>1276</x:v>
      </x:c>
      <x:c r="F10" s="7" t="str">
        <x:v>사전</x:v>
      </x:c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</x:row>
    <x:row r="11" ht="23" customHeight="1">
      <x:c r="A11" s="10" t="n">
        <x:v>-1</x:v>
      </x:c>
      <x:c r="B11" s="10" t="n">
        <x:v>2017</x:v>
      </x:c>
      <x:c r="C11" s="11" t="n">
        <x:v>0</x:v>
      </x:c>
      <x:c r="D11" s="9" t="n">
        <x:v>0</x:v>
      </x:c>
      <x:c r="E11" s="11" t="n">
        <x:v>0</x:v>
      </x:c>
      <x:c r="F11" s="7" t="str">
        <x:v>기준연도</x:v>
      </x:c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</x:row>
    <x:row r="12" ht="23" customHeight="1">
      <x:c r="A12" s="10" t="n">
        <x:v>0</x:v>
      </x:c>
      <x:c r="B12" s="10" t="n">
        <x:v>2018</x:v>
      </x:c>
      <x:c r="C12" s="11"/>
      <x:c r="D12" s="9"/>
      <x:c r="E12" s="11"/>
      <x:c r="F12" s="7" t="str">
        <x:v>개관연도 제외</x:v>
      </x:c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</x:row>
    <x:row r="13" ht="23" customHeight="1">
      <x:c r="A13" s="10" t="n">
        <x:v>1</x:v>
      </x:c>
      <x:c r="B13" s="10" t="n">
        <x:v>2019</x:v>
      </x:c>
      <x:c r="C13" s="11" t="n">
        <x:v>27.333333333334</x:v>
      </x:c>
      <x:c r="D13" s="9" t="n">
        <x:v>-0.130014746325727</x:v>
      </x:c>
      <x:c r="E13" s="11" t="n">
        <x:v>-153.333333333334</x:v>
      </x:c>
      <x:c r="F13" s="7" t="str">
        <x:v>사후</x:v>
      </x:c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</x:row>
    <x:row r="14" ht="23" customHeight="1">
      <x:c r="A14" s="10" t="n">
        <x:v>2</x:v>
      </x:c>
      <x:c r="B14" s="10" t="n">
        <x:v>2020</x:v>
      </x:c>
      <x:c r="C14" s="11" t="n">
        <x:v>1630.33333333333</x:v>
      </x:c>
      <x:c r="D14" s="9" t="n">
        <x:v>1.33105366636834</x:v>
      </x:c>
      <x:c r="E14" s="11" t="n">
        <x:v>1391</x:v>
      </x:c>
      <x:c r="F14" s="7" t="str">
        <x:v>사후</x:v>
      </x:c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</x:row>
    <x:row r="15" ht="23" customHeight="1">
      <x:c r="A15" s="10" t="n">
        <x:v>3</x:v>
      </x:c>
      <x:c r="B15" s="10" t="n">
        <x:v>2021</x:v>
      </x:c>
      <x:c r="C15" s="11" t="n">
        <x:v>2165.33333333333</x:v>
      </x:c>
      <x:c r="D15" s="9" t="n">
        <x:v>1.6616962795318</x:v>
      </x:c>
      <x:c r="E15" s="11" t="n">
        <x:v>311.333333333332</x:v>
      </x:c>
      <x:c r="F15" s="7" t="str">
        <x:v>사후</x:v>
      </x:c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</x:row>
    <x:row r="16" ht="23" customHeight="1">
      <x:c r="A16" s="10" t="n">
        <x:v>4</x:v>
      </x:c>
      <x:c r="B16" s="10" t="n">
        <x:v>2022</x:v>
      </x:c>
      <x:c r="C16" s="11" t="n">
        <x:v>1740</x:v>
      </x:c>
      <x:c r="D16" s="9" t="n">
        <x:v>0.634066567758916</x:v>
      </x:c>
      <x:c r="E16" s="11" t="n">
        <x:v>-635.666666666667</x:v>
      </x:c>
      <x:c r="F16" s="7" t="str">
        <x:v>사후</x:v>
      </x:c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</x:row>
    <x:row r="17" ht="23" customHeight="1">
      <x:c r="A17" s="10" t="n">
        <x:v>5</x:v>
      </x:c>
      <x:c r="B17" s="10" t="n">
        <x:v>2023</x:v>
      </x:c>
      <x:c r="C17" s="11" t="n">
        <x:v>1054.33333333333</x:v>
      </x:c>
      <x:c r="D17" s="9" t="n">
        <x:v>-0.0048929472029919</x:v>
      </x:c>
      <x:c r="E17" s="11" t="n">
        <x:v>-893.666666666666</x:v>
      </x:c>
      <x:c r="F17" s="7" t="str">
        <x:v>사후</x:v>
      </x:c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</x:row>
    <x:row r="21" ht="32" customHeight="1">
      <x:c r="A21" s="3" t="str">
        <x:v>마지막 사전연도(-1)를 기준으로 한 처치-비교 격차의 변화입니다. 개관연도(0)는 제외했으며 기준연도의 0은 실제 기준값입니다.</x:v>
      </x:c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</x:row>
    <x:row r="49" ht="2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</x:row>
    <x:row r="51" ht="2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</x:row>
    <x:row r="56" ht="2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</x:row>
    <x:row r="57" ht="2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</x:row>
    <x:row r="58" ht="2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</x:row>
    <x:row r="59" ht="2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</x:row>
    <x:row r="60" ht="2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</x:row>
    <x:row r="61" ht="2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</x:row>
    <x:row r="62" ht="2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</x:row>
    <x:row r="63" ht="2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</x:row>
    <x:row r="64" ht="2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</x:row>
    <x:row r="65" ht="2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</x:row>
    <x:row r="66" ht="2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</x:row>
    <x:row r="67" ht="23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</x:row>
    <x:row r="68" ht="23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</x:row>
  </x:sheetData>
  <x:mergeCells>
    <x:mergeCell ref="A3:R3"/>
    <x:mergeCell ref="A21:R21"/>
  </x:mergeCells>
  <x:pageMargins left="0.7" right="0.7" top="0.75" bottom="0.75" header="0.3" footer="0.3"/>
  <x:drawing xmlns:r="http://schemas.openxmlformats.org/officeDocument/2006/relationships" r:id="R1f8be2b555e84584"/>
</x:worksheet>
</file>

<file path=xl/worksheets/sheet1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0.25" hidden="0" customWidth="1"/>
    <x:col min="2" max="2" width="10.25" hidden="0" customWidth="1"/>
    <x:col min="3" max="3" width="10.25" hidden="0" customWidth="1"/>
    <x:col min="4" max="4" width="10.25" hidden="0" customWidth="1"/>
    <x:col min="5" max="5" width="10.25" hidden="0" customWidth="1"/>
    <x:col min="6" max="6" width="10.25" hidden="0" customWidth="1"/>
    <x:col min="7" max="7" width="10.25" hidden="0" customWidth="1"/>
    <x:col min="8" max="8" width="10.25" hidden="0" customWidth="1"/>
    <x:col min="9" max="9" width="10.25" hidden="0" customWidth="1"/>
    <x:col min="10" max="10" width="10.25" hidden="0" customWidth="1"/>
    <x:col min="11" max="11" width="10.25" hidden="0" customWidth="1"/>
    <x:col min="12" max="12" width="10.25" hidden="0" customWidth="1"/>
    <x:col min="13" max="13" width="10.25" hidden="0" customWidth="1"/>
    <x:col min="14" max="14" width="10.25" hidden="0" customWidth="1"/>
    <x:col min="15" max="15" width="10.25" hidden="0" customWidth="1"/>
    <x:col min="16" max="16" width="10.25" hidden="0" customWidth="1"/>
    <x:col min="17" max="17" width="10.25" hidden="0" customWidth="1"/>
    <x:col min="18" max="18" width="10.25" hidden="0" customWidth="1"/>
  </x:cols>
  <x:sheetData>
    <x:row r="1" ht="28" customHeight="1">
      <x:c r="A1" s="2" t="str">
        <x:v>그림 10 팔복예술공장 인구와 청년비율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 ht="23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</x:row>
    <x:row r="3" ht="32" customHeight="1">
      <x:c r="A3" s="3" t="str">
        <x:v>수치 출처 그림_연도별처치비교값.csv / 팔복예술공장 / 개관 2018년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</x:row>
    <x:row r="5" ht="23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</x:row>
    <x:row r="6" ht="64" customHeight="1">
      <x:c r="A6" s="6" t="str">
        <x:v>연도</x:v>
      </x:c>
      <x:c r="B6" s="6" t="str">
        <x:v>구분</x:v>
      </x:c>
      <x:c r="C6" s="6" t="str">
        <x:v>처치 인구(명)</x:v>
      </x:c>
      <x:c r="D6" s="6" t="str">
        <x:v>비교 인구(명)</x:v>
      </x:c>
      <x:c r="E6" s="6" t="str">
        <x:v>처치 청년(%)</x:v>
      </x:c>
      <x:c r="F6" s="6" t="str">
        <x:v>비교 청년(%)</x:v>
      </x:c>
      <x:c r="G6" s="1"/>
      <x:c r="H6" s="6" t="str">
        <x:v>연도</x:v>
      </x:c>
      <x:c r="I6" s="6" t="str">
        <x:v>처치 인구지수</x:v>
      </x:c>
      <x:c r="J6" s="6" t="str">
        <x:v>비교 인구지수</x:v>
      </x:c>
      <x:c r="K6" s="6" t="str">
        <x:v>처치 청년변화</x:v>
      </x:c>
      <x:c r="L6" s="6" t="str">
        <x:v>비교 청년변화</x:v>
      </x:c>
      <x:c r="M6" s="1"/>
      <x:c r="N6" s="1"/>
      <x:c r="O6" s="1"/>
      <x:c r="P6" s="1"/>
      <x:c r="Q6" s="1"/>
      <x:c r="R6" s="1"/>
    </x:row>
    <x:row r="7" ht="23" customHeight="1">
      <x:c r="A7" s="10" t="n">
        <x:v>2013</x:v>
      </x:c>
      <x:c r="B7" s="7" t="str">
        <x:v>사전</x:v>
      </x:c>
      <x:c r="C7" s="11" t="n">
        <x:v>10810</x:v>
      </x:c>
      <x:c r="D7" s="11" t="n">
        <x:v>24370.3333333333</x:v>
      </x:c>
      <x:c r="E7" s="9" t="n">
        <x:v>22.2664199814986</x:v>
      </x:c>
      <x:c r="F7" s="9" t="n">
        <x:v>20.3915821274846</x:v>
      </x:c>
      <x:c r="G7" s="1"/>
      <x:c r="H7" s="10" t="n">
        <x:v>2013</x:v>
      </x:c>
      <x:c r="I7" s="12" t="n">
        <x:f>C7/$C$7*100</x:f>
        <x:v>100</x:v>
      </x:c>
      <x:c r="J7" s="12" t="n">
        <x:f>D7/$D$7*100</x:f>
        <x:v>100</x:v>
      </x:c>
      <x:c r="K7" s="9" t="n">
        <x:f>E7-$E$7</x:f>
        <x:v>0</x:v>
      </x:c>
      <x:c r="L7" s="9" t="n">
        <x:f>F7-$F$7</x:f>
        <x:v>0</x:v>
      </x:c>
      <x:c r="M7" s="1"/>
      <x:c r="N7" s="1"/>
      <x:c r="O7" s="1"/>
      <x:c r="P7" s="1"/>
      <x:c r="Q7" s="1"/>
      <x:c r="R7" s="1"/>
    </x:row>
    <x:row r="8" ht="23" customHeight="1">
      <x:c r="A8" s="10" t="n">
        <x:v>2014</x:v>
      </x:c>
      <x:c r="B8" s="7" t="str">
        <x:v>사전</x:v>
      </x:c>
      <x:c r="C8" s="11" t="n">
        <x:v>10387</x:v>
      </x:c>
      <x:c r="D8" s="11" t="n">
        <x:v>24024.6666666667</x:v>
      </x:c>
      <x:c r="E8" s="9" t="n">
        <x:v>21.2092038124579</x:v>
      </x:c>
      <x:c r="F8" s="9" t="n">
        <x:v>20.0764624170104</x:v>
      </x:c>
      <x:c r="G8" s="1"/>
      <x:c r="H8" s="10" t="n">
        <x:v>2014</x:v>
      </x:c>
      <x:c r="I8" s="12" t="n">
        <x:f>C8/$C$7*100</x:f>
        <x:v>96.08695652173913</x:v>
      </x:c>
      <x:c r="J8" s="12" t="n">
        <x:f>D8/$D$7*100</x:f>
        <x:v>98.58160878663978</x:v>
      </x:c>
      <x:c r="K8" s="9" t="n">
        <x:f>E8-$E$7</x:f>
        <x:v>-1.0572161690407</x:v>
      </x:c>
      <x:c r="L8" s="9" t="n">
        <x:f>F8-$F$7</x:f>
        <x:v>-0.3151197104741996</x:v>
      </x:c>
      <x:c r="M8" s="1"/>
      <x:c r="N8" s="1"/>
      <x:c r="O8" s="1"/>
      <x:c r="P8" s="1"/>
      <x:c r="Q8" s="1"/>
      <x:c r="R8" s="1"/>
    </x:row>
    <x:row r="9" ht="23" customHeight="1">
      <x:c r="A9" s="10" t="n">
        <x:v>2015</x:v>
      </x:c>
      <x:c r="B9" s="7" t="str">
        <x:v>사전</x:v>
      </x:c>
      <x:c r="C9" s="11" t="n">
        <x:v>9927</x:v>
      </x:c>
      <x:c r="D9" s="11" t="n">
        <x:v>23983.6666666667</x:v>
      </x:c>
      <x:c r="E9" s="9" t="n">
        <x:v>20.3485443739297</x:v>
      </x:c>
      <x:c r="F9" s="9" t="n">
        <x:v>19.7300003536106</x:v>
      </x:c>
      <x:c r="G9" s="1"/>
      <x:c r="H9" s="10" t="n">
        <x:v>2015</x:v>
      </x:c>
      <x:c r="I9" s="12" t="n">
        <x:f>C9/$C$7*100</x:f>
        <x:v>91.83163737280296</x:v>
      </x:c>
      <x:c r="J9" s="12" t="n">
        <x:f>D9/$D$7*100</x:f>
        <x:v>98.41337144889306</x:v>
      </x:c>
      <x:c r="K9" s="9" t="n">
        <x:f>E9-$E$7</x:f>
        <x:v>-1.9178756075689023</x:v>
      </x:c>
      <x:c r="L9" s="9" t="n">
        <x:f>F9-$F$7</x:f>
        <x:v>-0.6615817738740013</x:v>
      </x:c>
      <x:c r="M9" s="1"/>
      <x:c r="N9" s="1"/>
      <x:c r="O9" s="1"/>
      <x:c r="P9" s="1"/>
      <x:c r="Q9" s="1"/>
      <x:c r="R9" s="1"/>
    </x:row>
    <x:row r="10" ht="23" customHeight="1">
      <x:c r="A10" s="10" t="n">
        <x:v>2016</x:v>
      </x:c>
      <x:c r="B10" s="7" t="str">
        <x:v>사전</x:v>
      </x:c>
      <x:c r="C10" s="11" t="n">
        <x:v>9455</x:v>
      </x:c>
      <x:c r="D10" s="11" t="n">
        <x:v>23897.3333333333</x:v>
      </x:c>
      <x:c r="E10" s="9" t="n">
        <x:v>19.4923320994183</x:v>
      </x:c>
      <x:c r="F10" s="9" t="n">
        <x:v>19.6166939441573</x:v>
      </x:c>
      <x:c r="G10" s="1"/>
      <x:c r="H10" s="10" t="n">
        <x:v>2016</x:v>
      </x:c>
      <x:c r="I10" s="12" t="n">
        <x:f>C10/$C$7*100</x:f>
        <x:v>87.46530989824237</x:v>
      </x:c>
      <x:c r="J10" s="12" t="n">
        <x:f>D10/$D$7*100</x:f>
        <x:v>98.05911559136108</x:v>
      </x:c>
      <x:c r="K10" s="9" t="n">
        <x:f>E10-$E$7</x:f>
        <x:v>-2.774087882080302</x:v>
      </x:c>
      <x:c r="L10" s="9" t="n">
        <x:f>F10-$F$7</x:f>
        <x:v>-0.7748881833272989</x:v>
      </x:c>
      <x:c r="M10" s="1"/>
      <x:c r="N10" s="1"/>
      <x:c r="O10" s="1"/>
      <x:c r="P10" s="1"/>
      <x:c r="Q10" s="1"/>
      <x:c r="R10" s="1"/>
    </x:row>
    <x:row r="11" ht="23" customHeight="1">
      <x:c r="A11" s="10" t="n">
        <x:v>2017</x:v>
      </x:c>
      <x:c r="B11" s="7" t="str">
        <x:v>사전</x:v>
      </x:c>
      <x:c r="C11" s="11" t="n">
        <x:v>9060</x:v>
      </x:c>
      <x:c r="D11" s="11" t="n">
        <x:v>23472.6666666667</x:v>
      </x:c>
      <x:c r="E11" s="9" t="n">
        <x:v>18.4988962472406</x:v>
      </x:c>
      <x:c r="F11" s="9" t="n">
        <x:v>19.3048952778383</x:v>
      </x:c>
      <x:c r="G11" s="1"/>
      <x:c r="H11" s="10" t="n">
        <x:v>2017</x:v>
      </x:c>
      <x:c r="I11" s="12" t="n">
        <x:f>C11/$C$7*100</x:f>
        <x:v>83.8112858464385</x:v>
      </x:c>
      <x:c r="J11" s="12" t="n">
        <x:f>D11/$D$7*100</x:f>
        <x:v>96.31655975161084</x:v>
      </x:c>
      <x:c r="K11" s="9" t="n">
        <x:f>E11-$E$7</x:f>
        <x:v>-3.767523734257999</x:v>
      </x:c>
      <x:c r="L11" s="9" t="n">
        <x:f>F11-$F$7</x:f>
        <x:v>-1.086686849646302</x:v>
      </x:c>
      <x:c r="M11" s="1"/>
      <x:c r="N11" s="1"/>
      <x:c r="O11" s="1"/>
      <x:c r="P11" s="1"/>
      <x:c r="Q11" s="1"/>
      <x:c r="R11" s="1"/>
    </x:row>
    <x:row r="12" ht="23" customHeight="1">
      <x:c r="A12" s="10" t="n">
        <x:v>2018</x:v>
      </x:c>
      <x:c r="B12" s="7" t="str">
        <x:v>개관연도 제외</x:v>
      </x:c>
      <x:c r="C12" s="11"/>
      <x:c r="D12" s="11"/>
      <x:c r="E12" s="9"/>
      <x:c r="F12" s="9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</x:row>
    <x:row r="13" ht="23" customHeight="1">
      <x:c r="A13" s="10" t="n">
        <x:v>2019</x:v>
      </x:c>
      <x:c r="B13" s="7" t="str">
        <x:v>사후</x:v>
      </x:c>
      <x:c r="C13" s="11" t="n">
        <x:v>8029</x:v>
      </x:c>
      <x:c r="D13" s="11" t="n">
        <x:v>23724.6666666667</x:v>
      </x:c>
      <x:c r="E13" s="9" t="n">
        <x:v>16.9261427325943</x:v>
      </x:c>
      <x:c r="F13" s="9" t="n">
        <x:v>18.8064329904822</x:v>
      </x:c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</x:row>
    <x:row r="14" ht="23" customHeight="1">
      <x:c r="A14" s="10" t="n">
        <x:v>2020</x:v>
      </x:c>
      <x:c r="B14" s="7" t="str">
        <x:v>사후</x:v>
      </x:c>
      <x:c r="C14" s="11" t="n">
        <x:v>7691</x:v>
      </x:c>
      <x:c r="D14" s="11" t="n">
        <x:v>23560.6666666667</x:v>
      </x:c>
      <x:c r="E14" s="9" t="n">
        <x:v>16.6558314913535</x:v>
      </x:c>
      <x:c r="F14" s="9" t="n">
        <x:v>18.6483741926201</x:v>
      </x:c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</x:row>
    <x:row r="15" ht="23" customHeight="1">
      <x:c r="A15" s="10" t="n">
        <x:v>2021</x:v>
      </x:c>
      <x:c r="B15" s="7" t="str">
        <x:v>사후</x:v>
      </x:c>
      <x:c r="C15" s="11" t="n">
        <x:v>7519</x:v>
      </x:c>
      <x:c r="D15" s="11" t="n">
        <x:v>23153.3333333333</x:v>
      </x:c>
      <x:c r="E15" s="9" t="n">
        <x:v>17.3560313871525</x:v>
      </x:c>
      <x:c r="F15" s="9" t="n">
        <x:v>18.4279929099942</x:v>
      </x:c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</x:row>
    <x:row r="16" ht="23" customHeight="1">
      <x:c r="A16" s="10" t="n">
        <x:v>2022</x:v>
      </x:c>
      <x:c r="B16" s="7" t="str">
        <x:v>사후</x:v>
      </x:c>
      <x:c r="C16" s="11" t="n">
        <x:v>7682</x:v>
      </x:c>
      <x:c r="D16" s="11" t="n">
        <x:v>22731</x:v>
      </x:c>
      <x:c r="E16" s="9" t="n">
        <x:v>20.5805779744858</x:v>
      </x:c>
      <x:c r="F16" s="9" t="n">
        <x:v>17.9332879964185</x:v>
      </x:c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</x:row>
    <x:row r="17" ht="23" customHeight="1">
      <x:c r="A17" s="10" t="n">
        <x:v>2023</x:v>
      </x:c>
      <x:c r="B17" s="7" t="str">
        <x:v>사후</x:v>
      </x:c>
      <x:c r="C17" s="11" t="n">
        <x:v>7570</x:v>
      </x:c>
      <x:c r="D17" s="11" t="n">
        <x:v>22263.3333333333</x:v>
      </x:c>
      <x:c r="E17" s="9" t="n">
        <x:v>20.8586525759577</x:v>
      </x:c>
      <x:c r="F17" s="9" t="n">
        <x:v>17.7591097764246</x:v>
      </x:c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</x:row>
    <x:row r="21" ht="32" customHeight="1">
      <x:c r="A21" s="3" t="str">
        <x:v>비교 값은 고정 비교 3동의 단순평균입니다. 인구지수는 첫 사전연도=100, 청년변화는 첫 사전연도 대비 %p입니다.</x:v>
      </x:c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</x:row>
    <x:row r="49" ht="2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</x:row>
    <x:row r="51" ht="2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</x:row>
    <x:row r="56" ht="2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</x:row>
    <x:row r="57" ht="2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</x:row>
    <x:row r="58" ht="2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</x:row>
    <x:row r="59" ht="2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</x:row>
    <x:row r="60" ht="2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</x:row>
    <x:row r="61" ht="2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</x:row>
    <x:row r="62" ht="2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</x:row>
    <x:row r="63" ht="2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</x:row>
    <x:row r="64" ht="2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</x:row>
    <x:row r="65" ht="2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</x:row>
    <x:row r="66" ht="2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</x:row>
    <x:row r="67" ht="23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</x:row>
    <x:row r="68" ht="23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</x:row>
  </x:sheetData>
  <x:mergeCells>
    <x:mergeCell ref="A3:R3"/>
    <x:mergeCell ref="A21:R21"/>
  </x:mergeCells>
  <x:pageMargins left="0.7" right="0.7" top="0.75" bottom="0.75" header="0.3" footer="0.3"/>
  <x:drawing xmlns:r="http://schemas.openxmlformats.org/officeDocument/2006/relationships" r:id="R18a13e52cebb4357"/>
</x:worksheet>
</file>

<file path=xl/worksheets/sheet12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0.25" hidden="0" customWidth="1"/>
    <x:col min="2" max="2" width="10.25" hidden="0" customWidth="1"/>
    <x:col min="3" max="3" width="10.25" hidden="0" customWidth="1"/>
    <x:col min="4" max="4" width="10.25" hidden="0" customWidth="1"/>
    <x:col min="5" max="5" width="10.25" hidden="0" customWidth="1"/>
    <x:col min="6" max="6" width="10.25" hidden="0" customWidth="1"/>
    <x:col min="7" max="7" width="10.25" hidden="0" customWidth="1"/>
    <x:col min="8" max="8" width="10.25" hidden="0" customWidth="1"/>
    <x:col min="9" max="9" width="10.25" hidden="0" customWidth="1"/>
    <x:col min="10" max="10" width="10.25" hidden="0" customWidth="1"/>
    <x:col min="11" max="11" width="10.25" hidden="0" customWidth="1"/>
    <x:col min="12" max="12" width="10.25" hidden="0" customWidth="1"/>
    <x:col min="13" max="13" width="10.25" hidden="0" customWidth="1"/>
    <x:col min="14" max="14" width="10.25" hidden="0" customWidth="1"/>
    <x:col min="15" max="15" width="10.25" hidden="0" customWidth="1"/>
    <x:col min="16" max="16" width="10.25" hidden="0" customWidth="1"/>
    <x:col min="17" max="17" width="10.25" hidden="0" customWidth="1"/>
    <x:col min="18" max="18" width="10.25" hidden="0" customWidth="1"/>
  </x:cols>
  <x:sheetData>
    <x:row r="1" ht="28" customHeight="1">
      <x:c r="A1" s="2" t="str">
        <x:v>그림 11 팔복예술공장 기준연도 대비 격차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 ht="23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</x:row>
    <x:row r="3" ht="32" customHeight="1">
      <x:c r="A3" s="3" t="str">
        <x:v>수치 출처 사건시점_격차계수.csv / 팔복예술공장 / 개관 2018년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</x:row>
    <x:row r="5" ht="23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</x:row>
    <x:row r="6" ht="64" customHeight="1">
      <x:c r="A6" s="6" t="str">
        <x:v>개관 대비 연도</x:v>
      </x:c>
      <x:c r="B6" s="6" t="str">
        <x:v>연도</x:v>
      </x:c>
      <x:c r="C6" s="6" t="str">
        <x:v>인구 격차(명)</x:v>
      </x:c>
      <x:c r="D6" s="6" t="str">
        <x:v>청년 격차(%p)</x:v>
      </x:c>
      <x:c r="E6" s="6" t="str">
        <x:v>순이동 격차(명)</x:v>
      </x:c>
      <x:c r="F6" s="6" t="str">
        <x:v>구분</x:v>
      </x:c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</x:row>
    <x:row r="7" ht="23" customHeight="1">
      <x:c r="A7" s="10" t="n">
        <x:v>-5</x:v>
      </x:c>
      <x:c r="B7" s="10" t="n">
        <x:v>2013</x:v>
      </x:c>
      <x:c r="C7" s="11" t="n">
        <x:v>852.333333333337</x:v>
      </x:c>
      <x:c r="D7" s="9" t="n">
        <x:v>2.6808368846117</x:v>
      </x:c>
      <x:c r="E7" s="11" t="n">
        <x:v>-961.666666666668</x:v>
      </x:c>
      <x:c r="F7" s="7" t="str">
        <x:v>사전</x:v>
      </x:c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</x:row>
    <x:row r="8" ht="23" customHeight="1">
      <x:c r="A8" s="10" t="n">
        <x:v>-4</x:v>
      </x:c>
      <x:c r="B8" s="10" t="n">
        <x:v>2014</x:v>
      </x:c>
      <x:c r="C8" s="11" t="n">
        <x:v>775.000000000028</x:v>
      </x:c>
      <x:c r="D8" s="9" t="n">
        <x:v>1.93874042604519</x:v>
      </x:c>
      <x:c r="E8" s="11" t="n">
        <x:v>-79.0000000000005</x:v>
      </x:c>
      <x:c r="F8" s="7" t="str">
        <x:v>사전</x:v>
      </x:c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</x:row>
    <x:row r="9" ht="23" customHeight="1">
      <x:c r="A9" s="10" t="n">
        <x:v>-3</x:v>
      </x:c>
      <x:c r="B9" s="10" t="n">
        <x:v>2015</x:v>
      </x:c>
      <x:c r="C9" s="11" t="n">
        <x:v>356.000000000006</x:v>
      </x:c>
      <x:c r="D9" s="9" t="n">
        <x:v>1.42454305091674</x:v>
      </x:c>
      <x:c r="E9" s="11" t="n">
        <x:v>-418.666666666668</x:v>
      </x:c>
      <x:c r="F9" s="7" t="str">
        <x:v>사전</x:v>
      </x:c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</x:row>
    <x:row r="10" ht="23" customHeight="1">
      <x:c r="A10" s="10" t="n">
        <x:v>-2</x:v>
      </x:c>
      <x:c r="B10" s="10" t="n">
        <x:v>2016</x:v>
      </x:c>
      <x:c r="C10" s="11" t="n">
        <x:v>-29.6666666666555</x:v>
      </x:c>
      <x:c r="D10" s="9" t="n">
        <x:v>0.681637185858718</x:v>
      </x:c>
      <x:c r="E10" s="11" t="n">
        <x:v>-393.333333333335</x:v>
      </x:c>
      <x:c r="F10" s="7" t="str">
        <x:v>사전</x:v>
      </x:c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</x:row>
    <x:row r="11" ht="23" customHeight="1">
      <x:c r="A11" s="10" t="n">
        <x:v>-1</x:v>
      </x:c>
      <x:c r="B11" s="10" t="n">
        <x:v>2017</x:v>
      </x:c>
      <x:c r="C11" s="11" t="n">
        <x:v>0</x:v>
      </x:c>
      <x:c r="D11" s="9" t="n">
        <x:v>0</x:v>
      </x:c>
      <x:c r="E11" s="11" t="n">
        <x:v>0</x:v>
      </x:c>
      <x:c r="F11" s="7" t="str">
        <x:v>기준연도</x:v>
      </x:c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</x:row>
    <x:row r="12" ht="23" customHeight="1">
      <x:c r="A12" s="10" t="n">
        <x:v>0</x:v>
      </x:c>
      <x:c r="B12" s="10" t="n">
        <x:v>2018</x:v>
      </x:c>
      <x:c r="C12" s="11"/>
      <x:c r="D12" s="9"/>
      <x:c r="E12" s="11"/>
      <x:c r="F12" s="7" t="str">
        <x:v>개관연도 제외</x:v>
      </x:c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</x:row>
    <x:row r="13" ht="23" customHeight="1">
      <x:c r="A13" s="10" t="n">
        <x:v>1</x:v>
      </x:c>
      <x:c r="B13" s="10" t="n">
        <x:v>2019</x:v>
      </x:c>
      <x:c r="C13" s="11" t="n">
        <x:v>-1283</x:v>
      </x:c>
      <x:c r="D13" s="9" t="n">
        <x:v>-1.07429122729021</x:v>
      </x:c>
      <x:c r="E13" s="11" t="n">
        <x:v>-282.666666666668</x:v>
      </x:c>
      <x:c r="F13" s="7" t="str">
        <x:v>사후</x:v>
      </x:c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</x:row>
    <x:row r="14" ht="23" customHeight="1">
      <x:c r="A14" s="10" t="n">
        <x:v>2</x:v>
      </x:c>
      <x:c r="B14" s="10" t="n">
        <x:v>2020</x:v>
      </x:c>
      <x:c r="C14" s="11" t="n">
        <x:v>-1457</x:v>
      </x:c>
      <x:c r="D14" s="9" t="n">
        <x:v>-1.1865436706689</x:v>
      </x:c>
      <x:c r="E14" s="11" t="n">
        <x:v>-251.333333333334</x:v>
      </x:c>
      <x:c r="F14" s="7" t="str">
        <x:v>사후</x:v>
      </x:c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</x:row>
    <x:row r="15" ht="23" customHeight="1">
      <x:c r="A15" s="10" t="n">
        <x:v>3</x:v>
      </x:c>
      <x:c r="B15" s="10" t="n">
        <x:v>2021</x:v>
      </x:c>
      <x:c r="C15" s="11" t="n">
        <x:v>-1221.66666666667</x:v>
      </x:c>
      <x:c r="D15" s="9" t="n">
        <x:v>-0.265962492243943</x:v>
      </x:c>
      <x:c r="E15" s="11" t="n">
        <x:v>158.333333333332</x:v>
      </x:c>
      <x:c r="F15" s="7" t="str">
        <x:v>사후</x:v>
      </x:c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</x:row>
    <x:row r="16" ht="23" customHeight="1">
      <x:c r="A16" s="10" t="n">
        <x:v>4</x:v>
      </x:c>
      <x:c r="B16" s="10" t="n">
        <x:v>2022</x:v>
      </x:c>
      <x:c r="C16" s="11" t="n">
        <x:v>-636.333333333332</x:v>
      </x:c>
      <x:c r="D16" s="9" t="n">
        <x:v>3.45328900866505</x:v>
      </x:c>
      <x:c r="E16" s="11" t="n">
        <x:v>452.999999999999</x:v>
      </x:c>
      <x:c r="F16" s="7" t="str">
        <x:v>사후</x:v>
      </x:c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</x:row>
    <x:row r="17" ht="23" customHeight="1">
      <x:c r="A17" s="10" t="n">
        <x:v>5</x:v>
      </x:c>
      <x:c r="B17" s="10" t="n">
        <x:v>2023</x:v>
      </x:c>
      <x:c r="C17" s="11" t="n">
        <x:v>-280.666666666666</x:v>
      </x:c>
      <x:c r="D17" s="9" t="n">
        <x:v>3.90554183013078</x:v>
      </x:c>
      <x:c r="E17" s="11" t="n">
        <x:v>227.999999999999</x:v>
      </x:c>
      <x:c r="F17" s="7" t="str">
        <x:v>사후</x:v>
      </x:c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</x:row>
    <x:row r="21" ht="32" customHeight="1">
      <x:c r="A21" s="3" t="str">
        <x:v>마지막 사전연도(-1)를 기준으로 한 처치-비교 격차의 변화입니다. 개관연도(0)는 제외했으며 기준연도의 0은 실제 기준값입니다.</x:v>
      </x:c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</x:row>
    <x:row r="49" ht="2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</x:row>
    <x:row r="51" ht="2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</x:row>
    <x:row r="56" ht="2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</x:row>
    <x:row r="57" ht="2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</x:row>
    <x:row r="58" ht="2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</x:row>
    <x:row r="59" ht="2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</x:row>
    <x:row r="60" ht="2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</x:row>
    <x:row r="61" ht="2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</x:row>
    <x:row r="62" ht="2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</x:row>
    <x:row r="63" ht="2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</x:row>
    <x:row r="64" ht="2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</x:row>
    <x:row r="65" ht="2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</x:row>
    <x:row r="66" ht="2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</x:row>
    <x:row r="67" ht="23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</x:row>
    <x:row r="68" ht="23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</x:row>
  </x:sheetData>
  <x:mergeCells>
    <x:mergeCell ref="A3:R3"/>
    <x:mergeCell ref="A21:R21"/>
  </x:mergeCells>
  <x:pageMargins left="0.7" right="0.7" top="0.75" bottom="0.75" header="0.3" footer="0.3"/>
  <x:drawing xmlns:r="http://schemas.openxmlformats.org/officeDocument/2006/relationships" r:id="R91ec869389814e9d"/>
</x:worksheet>
</file>

<file path=xl/worksheets/sheet13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0.25" hidden="0" customWidth="1"/>
    <x:col min="2" max="2" width="10.25" hidden="0" customWidth="1"/>
    <x:col min="3" max="3" width="10.25" hidden="0" customWidth="1"/>
    <x:col min="4" max="4" width="10.25" hidden="0" customWidth="1"/>
    <x:col min="5" max="5" width="10.25" hidden="0" customWidth="1"/>
    <x:col min="6" max="6" width="10.25" hidden="0" customWidth="1"/>
    <x:col min="7" max="7" width="10.25" hidden="0" customWidth="1"/>
    <x:col min="8" max="8" width="10.25" hidden="0" customWidth="1"/>
    <x:col min="9" max="9" width="10.25" hidden="0" customWidth="1"/>
    <x:col min="10" max="10" width="10.25" hidden="0" customWidth="1"/>
    <x:col min="11" max="11" width="10.25" hidden="0" customWidth="1"/>
    <x:col min="12" max="12" width="10.25" hidden="0" customWidth="1"/>
    <x:col min="13" max="13" width="10.25" hidden="0" customWidth="1"/>
    <x:col min="14" max="14" width="10.25" hidden="0" customWidth="1"/>
    <x:col min="15" max="15" width="10.25" hidden="0" customWidth="1"/>
    <x:col min="16" max="16" width="10.25" hidden="0" customWidth="1"/>
    <x:col min="17" max="17" width="10.25" hidden="0" customWidth="1"/>
    <x:col min="18" max="18" width="10.25" hidden="0" customWidth="1"/>
  </x:cols>
  <x:sheetData>
    <x:row r="1" ht="28" customHeight="1">
      <x:c r="A1" s="2" t="str">
        <x:v>그림 12 문화비축기지 사업체와 종사자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 ht="23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</x:row>
    <x:row r="3" ht="32" customHeight="1">
      <x:c r="A3" s="3" t="str">
        <x:v>수치 출처 그림_연도별처치비교값.csv / 문화비축기지 / 개관 2017년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</x:row>
    <x:row r="5" ht="23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</x:row>
    <x:row r="6" ht="64" customHeight="1">
      <x:c r="A6" s="6" t="str">
        <x:v>연도</x:v>
      </x:c>
      <x:c r="B6" s="6" t="str">
        <x:v>구분</x:v>
      </x:c>
      <x:c r="C6" s="6" t="str">
        <x:v>처치 총사업체(개)</x:v>
      </x:c>
      <x:c r="D6" s="6" t="str">
        <x:v>비교 총사업체(개)</x:v>
      </x:c>
      <x:c r="E6" s="6" t="str">
        <x:v>처치 숙박 음식점 사업체(개)</x:v>
      </x:c>
      <x:c r="F6" s="6" t="str">
        <x:v>비교 숙박 음식점 사업체(개)</x:v>
      </x:c>
      <x:c r="G6" s="6" t="str">
        <x:v>처치 전체 종사자(명)</x:v>
      </x:c>
      <x:c r="H6" s="6" t="str">
        <x:v>비교 전체 종사자(명)</x:v>
      </x:c>
      <x:c r="I6" s="6" t="str">
        <x:v>처치 R업종 종사자(명)</x:v>
      </x:c>
      <x:c r="J6" s="6" t="str">
        <x:v>비교 R업종 종사자(명)</x:v>
      </x:c>
      <x:c r="K6" s="1"/>
      <x:c r="L6" s="1"/>
      <x:c r="M6" s="1"/>
      <x:c r="N6" s="1"/>
      <x:c r="O6" s="1"/>
      <x:c r="P6" s="1"/>
      <x:c r="Q6" s="1"/>
      <x:c r="R6" s="1"/>
    </x:row>
    <x:row r="7" ht="23" customHeight="1">
      <x:c r="A7" s="7" t="n">
        <x:v>2012</x:v>
      </x:c>
      <x:c r="B7" s="7" t="str">
        <x:v>사전</x:v>
      </x:c>
      <x:c r="C7" s="11" t="n">
        <x:v>1660</x:v>
      </x:c>
      <x:c r="D7" s="11" t="n">
        <x:v>2508</x:v>
      </x:c>
      <x:c r="E7" s="11" t="n">
        <x:v>207</x:v>
      </x:c>
      <x:c r="F7" s="11" t="n">
        <x:v>302.666666666667</x:v>
      </x:c>
      <x:c r="G7" s="11" t="n">
        <x:v>8608</x:v>
      </x:c>
      <x:c r="H7" s="11" t="n">
        <x:v>9001</x:v>
      </x:c>
      <x:c r="I7" s="11" t="n">
        <x:v>402</x:v>
      </x:c>
      <x:c r="J7" s="11" t="n">
        <x:v>192.666666666667</x:v>
      </x:c>
      <x:c r="K7" s="1"/>
      <x:c r="L7" s="1"/>
      <x:c r="M7" s="1"/>
      <x:c r="N7" s="1"/>
      <x:c r="O7" s="1"/>
      <x:c r="P7" s="1"/>
      <x:c r="Q7" s="1"/>
      <x:c r="R7" s="1"/>
    </x:row>
    <x:row r="8" ht="23" customHeight="1">
      <x:c r="A8" s="7" t="n">
        <x:v>2013</x:v>
      </x:c>
      <x:c r="B8" s="7" t="str">
        <x:v>사전</x:v>
      </x:c>
      <x:c r="C8" s="11" t="n">
        <x:v>1675</x:v>
      </x:c>
      <x:c r="D8" s="11" t="n">
        <x:v>2509.66666666667</x:v>
      </x:c>
      <x:c r="E8" s="11" t="n">
        <x:v>202</x:v>
      </x:c>
      <x:c r="F8" s="11" t="n">
        <x:v>302.666666666667</x:v>
      </x:c>
      <x:c r="G8" s="11" t="n">
        <x:v>8434</x:v>
      </x:c>
      <x:c r="H8" s="11" t="n">
        <x:v>9055.66666666667</x:v>
      </x:c>
      <x:c r="I8" s="11" t="n">
        <x:v>402</x:v>
      </x:c>
      <x:c r="J8" s="11" t="n">
        <x:v>193.666666666667</x:v>
      </x:c>
      <x:c r="K8" s="1"/>
      <x:c r="L8" s="1"/>
      <x:c r="M8" s="1"/>
      <x:c r="N8" s="1"/>
      <x:c r="O8" s="1"/>
      <x:c r="P8" s="1"/>
      <x:c r="Q8" s="1"/>
      <x:c r="R8" s="1"/>
    </x:row>
    <x:row r="9" ht="23" customHeight="1">
      <x:c r="A9" s="7" t="n">
        <x:v>2014</x:v>
      </x:c>
      <x:c r="B9" s="7" t="str">
        <x:v>사전</x:v>
      </x:c>
      <x:c r="C9" s="11" t="n">
        <x:v>1760</x:v>
      </x:c>
      <x:c r="D9" s="11" t="n">
        <x:v>2440.33333333333</x:v>
      </x:c>
      <x:c r="E9" s="11" t="n">
        <x:v>210</x:v>
      </x:c>
      <x:c r="F9" s="11" t="n">
        <x:v>288.666666666667</x:v>
      </x:c>
      <x:c r="G9" s="11" t="n">
        <x:v>9355</x:v>
      </x:c>
      <x:c r="H9" s="11" t="n">
        <x:v>8824</x:v>
      </x:c>
      <x:c r="I9" s="11" t="n">
        <x:v>408</x:v>
      </x:c>
      <x:c r="J9" s="11" t="n">
        <x:v>186.333333333333</x:v>
      </x:c>
      <x:c r="K9" s="1"/>
      <x:c r="L9" s="1"/>
      <x:c r="M9" s="1"/>
      <x:c r="N9" s="1"/>
      <x:c r="O9" s="1"/>
      <x:c r="P9" s="1"/>
      <x:c r="Q9" s="1"/>
      <x:c r="R9" s="1"/>
    </x:row>
    <x:row r="10" ht="23" customHeight="1">
      <x:c r="A10" s="7" t="n">
        <x:v>2015</x:v>
      </x:c>
      <x:c r="B10" s="7" t="str">
        <x:v>사전</x:v>
      </x:c>
      <x:c r="C10" s="11" t="n">
        <x:v>1814</x:v>
      </x:c>
      <x:c r="D10" s="11" t="n">
        <x:v>2421.33333333333</x:v>
      </x:c>
      <x:c r="E10" s="11" t="n">
        <x:v>225</x:v>
      </x:c>
      <x:c r="F10" s="11" t="n">
        <x:v>282.333333333333</x:v>
      </x:c>
      <x:c r="G10" s="11" t="n">
        <x:v>11362</x:v>
      </x:c>
      <x:c r="H10" s="11" t="n">
        <x:v>9356.33333333333</x:v>
      </x:c>
      <x:c r="I10" s="11" t="n">
        <x:v>484</x:v>
      </x:c>
      <x:c r="J10" s="11" t="n">
        <x:v>166.333333333333</x:v>
      </x:c>
      <x:c r="K10" s="1"/>
      <x:c r="L10" s="1"/>
      <x:c r="M10" s="1"/>
      <x:c r="N10" s="1"/>
      <x:c r="O10" s="1"/>
      <x:c r="P10" s="1"/>
      <x:c r="Q10" s="1"/>
      <x:c r="R10" s="1"/>
    </x:row>
    <x:row r="11" ht="23" customHeight="1">
      <x:c r="A11" s="7" t="n">
        <x:v>2016</x:v>
      </x:c>
      <x:c r="B11" s="7" t="str">
        <x:v>사전</x:v>
      </x:c>
      <x:c r="C11" s="11" t="n">
        <x:v>1782</x:v>
      </x:c>
      <x:c r="D11" s="11" t="n">
        <x:v>1920.33333333333</x:v>
      </x:c>
      <x:c r="E11" s="11" t="n">
        <x:v>236</x:v>
      </x:c>
      <x:c r="F11" s="11" t="n">
        <x:v>288</x:v>
      </x:c>
      <x:c r="G11" s="11" t="n">
        <x:v>11771</x:v>
      </x:c>
      <x:c r="H11" s="11" t="n">
        <x:v>8910</x:v>
      </x:c>
      <x:c r="I11" s="11" t="n">
        <x:v>521</x:v>
      </x:c>
      <x:c r="J11" s="11" t="n">
        <x:v>174.666666666667</x:v>
      </x:c>
      <x:c r="K11" s="1"/>
      <x:c r="L11" s="1"/>
      <x:c r="M11" s="1"/>
      <x:c r="N11" s="1"/>
      <x:c r="O11" s="1"/>
      <x:c r="P11" s="1"/>
      <x:c r="Q11" s="1"/>
      <x:c r="R11" s="1"/>
    </x:row>
    <x:row r="12" ht="23" customHeight="1">
      <x:c r="A12" s="7" t="n">
        <x:v>2017</x:v>
      </x:c>
      <x:c r="B12" s="7" t="str">
        <x:v>개관연도 제외</x:v>
      </x:c>
      <x:c r="C12" s="11"/>
      <x:c r="D12" s="11"/>
      <x:c r="E12" s="11"/>
      <x:c r="F12" s="11"/>
      <x:c r="G12" s="11"/>
      <x:c r="H12" s="11"/>
      <x:c r="I12" s="11"/>
      <x:c r="J12" s="11"/>
      <x:c r="K12" s="1"/>
      <x:c r="L12" s="1"/>
      <x:c r="M12" s="1"/>
      <x:c r="N12" s="1"/>
      <x:c r="O12" s="1"/>
      <x:c r="P12" s="1"/>
      <x:c r="Q12" s="1"/>
      <x:c r="R12" s="1"/>
    </x:row>
    <x:row r="13" ht="23" customHeight="1">
      <x:c r="A13" s="7" t="n">
        <x:v>2018</x:v>
      </x:c>
      <x:c r="B13" s="7" t="str">
        <x:v>사후</x:v>
      </x:c>
      <x:c r="C13" s="11" t="n">
        <x:v>1774</x:v>
      </x:c>
      <x:c r="D13" s="11" t="n">
        <x:v>1915.66666666667</x:v>
      </x:c>
      <x:c r="E13" s="11" t="n">
        <x:v>242</x:v>
      </x:c>
      <x:c r="F13" s="11" t="n">
        <x:v>294</x:v>
      </x:c>
      <x:c r="G13" s="11" t="n">
        <x:v>12341</x:v>
      </x:c>
      <x:c r="H13" s="11" t="n">
        <x:v>8980.66666666667</x:v>
      </x:c>
      <x:c r="I13" s="11" t="n">
        <x:v>412</x:v>
      </x:c>
      <x:c r="J13" s="11" t="n">
        <x:v>181</x:v>
      </x:c>
      <x:c r="K13" s="1"/>
      <x:c r="L13" s="1"/>
      <x:c r="M13" s="1"/>
      <x:c r="N13" s="1"/>
      <x:c r="O13" s="1"/>
      <x:c r="P13" s="1"/>
      <x:c r="Q13" s="1"/>
      <x:c r="R13" s="1"/>
    </x:row>
    <x:row r="14" ht="23" customHeight="1">
      <x:c r="A14" s="7" t="n">
        <x:v>2019</x:v>
      </x:c>
      <x:c r="B14" s="7" t="str">
        <x:v>사후</x:v>
      </x:c>
      <x:c r="C14" s="11" t="n">
        <x:v>1757</x:v>
      </x:c>
      <x:c r="D14" s="11" t="n">
        <x:v>1913</x:v>
      </x:c>
      <x:c r="E14" s="11" t="n">
        <x:v>259</x:v>
      </x:c>
      <x:c r="F14" s="11" t="n">
        <x:v>295.333333333333</x:v>
      </x:c>
      <x:c r="G14" s="11" t="n">
        <x:v>11682</x:v>
      </x:c>
      <x:c r="H14" s="11" t="n">
        <x:v>9089</x:v>
      </x:c>
      <x:c r="I14" s="11" t="n">
        <x:v>481</x:v>
      </x:c>
      <x:c r="J14" s="11" t="n">
        <x:v>206.666666666667</x:v>
      </x:c>
      <x:c r="K14" s="1"/>
      <x:c r="L14" s="1"/>
      <x:c r="M14" s="1"/>
      <x:c r="N14" s="1"/>
      <x:c r="O14" s="1"/>
      <x:c r="P14" s="1"/>
      <x:c r="Q14" s="1"/>
      <x:c r="R14" s="1"/>
    </x:row>
    <x:row r="15" ht="2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</x:row>
    <x:row r="21" ht="32" customHeight="1">
      <x:c r="A21" s="3" t="str">
        <x:v>사후기간은 2019년까지입니다. 2017년 개관 사례는 사후 2년, 2018년 개관 사례는 사후 1년입니다.</x:v>
      </x:c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</x:row>
    <x:row r="22" ht="32" customHeight="1">
      <x:c r="A22" s="3" t="str">
        <x:v>R업종은 예술 스포츠 및 여가관련 서비스업입니다.</x:v>
      </x:c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</x:row>
    <x:row r="49" ht="2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</x:row>
    <x:row r="51" ht="2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</x:row>
    <x:row r="56" ht="2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</x:row>
    <x:row r="57" ht="2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</x:row>
    <x:row r="58" ht="2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</x:row>
    <x:row r="59" ht="2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</x:row>
    <x:row r="60" ht="2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</x:row>
    <x:row r="61" ht="2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</x:row>
    <x:row r="62" ht="2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</x:row>
    <x:row r="63" ht="2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</x:row>
    <x:row r="64" ht="2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</x:row>
    <x:row r="65" ht="2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</x:row>
    <x:row r="66" ht="2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</x:row>
    <x:row r="67" ht="23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</x:row>
    <x:row r="68" ht="23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</x:row>
  </x:sheetData>
  <x:mergeCells>
    <x:mergeCell ref="A3:R3"/>
    <x:mergeCell ref="A21:R21"/>
    <x:mergeCell ref="A22:R22"/>
  </x:mergeCells>
  <x:pageMargins left="0.7" right="0.7" top="0.75" bottom="0.75" header="0.3" footer="0.3"/>
  <x:drawing xmlns:r="http://schemas.openxmlformats.org/officeDocument/2006/relationships" r:id="Rb11b48bd8dcc4c47"/>
</x:worksheet>
</file>

<file path=xl/worksheets/sheet14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0.25" hidden="0" customWidth="1"/>
    <x:col min="2" max="2" width="10.25" hidden="0" customWidth="1"/>
    <x:col min="3" max="3" width="10.25" hidden="0" customWidth="1"/>
    <x:col min="4" max="4" width="10.25" hidden="0" customWidth="1"/>
    <x:col min="5" max="5" width="10.25" hidden="0" customWidth="1"/>
    <x:col min="6" max="6" width="10.25" hidden="0" customWidth="1"/>
    <x:col min="7" max="7" width="10.25" hidden="0" customWidth="1"/>
    <x:col min="8" max="8" width="10.25" hidden="0" customWidth="1"/>
    <x:col min="9" max="9" width="10.25" hidden="0" customWidth="1"/>
    <x:col min="10" max="10" width="10.25" hidden="0" customWidth="1"/>
    <x:col min="11" max="11" width="10.25" hidden="0" customWidth="1"/>
    <x:col min="12" max="12" width="10.25" hidden="0" customWidth="1"/>
    <x:col min="13" max="13" width="10.25" hidden="0" customWidth="1"/>
    <x:col min="14" max="14" width="10.25" hidden="0" customWidth="1"/>
    <x:col min="15" max="15" width="10.25" hidden="0" customWidth="1"/>
    <x:col min="16" max="16" width="10.25" hidden="0" customWidth="1"/>
    <x:col min="17" max="17" width="10.25" hidden="0" customWidth="1"/>
    <x:col min="18" max="18" width="10.25" hidden="0" customWidth="1"/>
  </x:cols>
  <x:sheetData>
    <x:row r="1" ht="28" customHeight="1">
      <x:c r="A1" s="2" t="str">
        <x:v>그림 13 F1963 사업체와 종사자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 ht="23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</x:row>
    <x:row r="3" ht="32" customHeight="1">
      <x:c r="A3" s="3" t="str">
        <x:v>수치 출처 그림_연도별처치비교값.csv / F1963 / 개관 2017년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</x:row>
    <x:row r="5" ht="23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</x:row>
    <x:row r="6" ht="64" customHeight="1">
      <x:c r="A6" s="6" t="str">
        <x:v>연도</x:v>
      </x:c>
      <x:c r="B6" s="6" t="str">
        <x:v>구분</x:v>
      </x:c>
      <x:c r="C6" s="6" t="str">
        <x:v>처치 총사업체(개)</x:v>
      </x:c>
      <x:c r="D6" s="6" t="str">
        <x:v>비교 총사업체(개)</x:v>
      </x:c>
      <x:c r="E6" s="6" t="str">
        <x:v>처치 숙박 음식점 사업체(개)</x:v>
      </x:c>
      <x:c r="F6" s="6" t="str">
        <x:v>비교 숙박 음식점 사업체(개)</x:v>
      </x:c>
      <x:c r="G6" s="6" t="str">
        <x:v>처치 전체 종사자(명)</x:v>
      </x:c>
      <x:c r="H6" s="6" t="str">
        <x:v>비교 전체 종사자(명)</x:v>
      </x:c>
      <x:c r="I6" s="6" t="str">
        <x:v>처치 R업종 종사자(명)</x:v>
      </x:c>
      <x:c r="J6" s="6" t="str">
        <x:v>비교 R업종 종사자(명)</x:v>
      </x:c>
      <x:c r="K6" s="1"/>
      <x:c r="L6" s="1"/>
      <x:c r="M6" s="1"/>
      <x:c r="N6" s="1"/>
      <x:c r="O6" s="1"/>
      <x:c r="P6" s="1"/>
      <x:c r="Q6" s="1"/>
      <x:c r="R6" s="1"/>
    </x:row>
    <x:row r="7" ht="23" customHeight="1">
      <x:c r="A7" s="7" t="n">
        <x:v>2012</x:v>
      </x:c>
      <x:c r="B7" s="7" t="str">
        <x:v>사전</x:v>
      </x:c>
      <x:c r="C7" s="11" t="n">
        <x:v>749</x:v>
      </x:c>
      <x:c r="D7" s="11" t="n">
        <x:v>1337</x:v>
      </x:c>
      <x:c r="E7" s="11" t="n">
        <x:v>98</x:v>
      </x:c>
      <x:c r="F7" s="11" t="n">
        <x:v>185</x:v>
      </x:c>
      <x:c r="G7" s="11" t="n">
        <x:v>2795</x:v>
      </x:c>
      <x:c r="H7" s="11" t="n">
        <x:v>5940</x:v>
      </x:c>
      <x:c r="I7" s="11" t="n">
        <x:v>35</x:v>
      </x:c>
      <x:c r="J7" s="11" t="n">
        <x:v>73.6666666666667</x:v>
      </x:c>
      <x:c r="K7" s="1"/>
      <x:c r="L7" s="1"/>
      <x:c r="M7" s="1"/>
      <x:c r="N7" s="1"/>
      <x:c r="O7" s="1"/>
      <x:c r="P7" s="1"/>
      <x:c r="Q7" s="1"/>
      <x:c r="R7" s="1"/>
    </x:row>
    <x:row r="8" ht="23" customHeight="1">
      <x:c r="A8" s="7" t="n">
        <x:v>2013</x:v>
      </x:c>
      <x:c r="B8" s="7" t="str">
        <x:v>사전</x:v>
      </x:c>
      <x:c r="C8" s="11" t="n">
        <x:v>727</x:v>
      </x:c>
      <x:c r="D8" s="11" t="n">
        <x:v>1319.66666666667</x:v>
      </x:c>
      <x:c r="E8" s="11" t="n">
        <x:v>95</x:v>
      </x:c>
      <x:c r="F8" s="11" t="n">
        <x:v>184.666666666667</x:v>
      </x:c>
      <x:c r="G8" s="11" t="n">
        <x:v>2736</x:v>
      </x:c>
      <x:c r="H8" s="11" t="n">
        <x:v>6053.33333333333</x:v>
      </x:c>
      <x:c r="I8" s="11" t="n">
        <x:v>32</x:v>
      </x:c>
      <x:c r="J8" s="11" t="n">
        <x:v>67.3333333333333</x:v>
      </x:c>
      <x:c r="K8" s="1"/>
      <x:c r="L8" s="1"/>
      <x:c r="M8" s="1"/>
      <x:c r="N8" s="1"/>
      <x:c r="O8" s="1"/>
      <x:c r="P8" s="1"/>
      <x:c r="Q8" s="1"/>
      <x:c r="R8" s="1"/>
    </x:row>
    <x:row r="9" ht="23" customHeight="1">
      <x:c r="A9" s="7" t="n">
        <x:v>2014</x:v>
      </x:c>
      <x:c r="B9" s="7" t="str">
        <x:v>사전</x:v>
      </x:c>
      <x:c r="C9" s="11" t="n">
        <x:v>738</x:v>
      </x:c>
      <x:c r="D9" s="11" t="n">
        <x:v>1295.66666666667</x:v>
      </x:c>
      <x:c r="E9" s="11" t="n">
        <x:v>96</x:v>
      </x:c>
      <x:c r="F9" s="11" t="n">
        <x:v>178.333333333333</x:v>
      </x:c>
      <x:c r="G9" s="11" t="n">
        <x:v>2778</x:v>
      </x:c>
      <x:c r="H9" s="11" t="n">
        <x:v>6361</x:v>
      </x:c>
      <x:c r="I9" s="11" t="n">
        <x:v>32</x:v>
      </x:c>
      <x:c r="J9" s="11" t="n">
        <x:v>63</x:v>
      </x:c>
      <x:c r="K9" s="1"/>
      <x:c r="L9" s="1"/>
      <x:c r="M9" s="1"/>
      <x:c r="N9" s="1"/>
      <x:c r="O9" s="1"/>
      <x:c r="P9" s="1"/>
      <x:c r="Q9" s="1"/>
      <x:c r="R9" s="1"/>
    </x:row>
    <x:row r="10" ht="23" customHeight="1">
      <x:c r="A10" s="7" t="n">
        <x:v>2015</x:v>
      </x:c>
      <x:c r="B10" s="7" t="str">
        <x:v>사전</x:v>
      </x:c>
      <x:c r="C10" s="11" t="n">
        <x:v>749</x:v>
      </x:c>
      <x:c r="D10" s="11" t="n">
        <x:v>1335.33333333333</x:v>
      </x:c>
      <x:c r="E10" s="11" t="n">
        <x:v>98</x:v>
      </x:c>
      <x:c r="F10" s="11" t="n">
        <x:v>175.666666666667</x:v>
      </x:c>
      <x:c r="G10" s="11" t="n">
        <x:v>3491</x:v>
      </x:c>
      <x:c r="H10" s="11" t="n">
        <x:v>6966.66666666667</x:v>
      </x:c>
      <x:c r="I10" s="11" t="n">
        <x:v>30</x:v>
      </x:c>
      <x:c r="J10" s="11" t="n">
        <x:v>63.6666666666667</x:v>
      </x:c>
      <x:c r="K10" s="1"/>
      <x:c r="L10" s="1"/>
      <x:c r="M10" s="1"/>
      <x:c r="N10" s="1"/>
      <x:c r="O10" s="1"/>
      <x:c r="P10" s="1"/>
      <x:c r="Q10" s="1"/>
      <x:c r="R10" s="1"/>
    </x:row>
    <x:row r="11" ht="23" customHeight="1">
      <x:c r="A11" s="7" t="n">
        <x:v>2016</x:v>
      </x:c>
      <x:c r="B11" s="7" t="str">
        <x:v>사전</x:v>
      </x:c>
      <x:c r="C11" s="11" t="n">
        <x:v>764</x:v>
      </x:c>
      <x:c r="D11" s="11" t="n">
        <x:v>1355.33333333333</x:v>
      </x:c>
      <x:c r="E11" s="11" t="n">
        <x:v>104</x:v>
      </x:c>
      <x:c r="F11" s="11" t="n">
        <x:v>180</x:v>
      </x:c>
      <x:c r="G11" s="11" t="n">
        <x:v>3497</x:v>
      </x:c>
      <x:c r="H11" s="11" t="n">
        <x:v>6860</x:v>
      </x:c>
      <x:c r="I11" s="11" t="n">
        <x:v>25</x:v>
      </x:c>
      <x:c r="J11" s="11" t="n">
        <x:v>72.3333333333333</x:v>
      </x:c>
      <x:c r="K11" s="1"/>
      <x:c r="L11" s="1"/>
      <x:c r="M11" s="1"/>
      <x:c r="N11" s="1"/>
      <x:c r="O11" s="1"/>
      <x:c r="P11" s="1"/>
      <x:c r="Q11" s="1"/>
      <x:c r="R11" s="1"/>
    </x:row>
    <x:row r="12" ht="23" customHeight="1">
      <x:c r="A12" s="7" t="n">
        <x:v>2017</x:v>
      </x:c>
      <x:c r="B12" s="7" t="str">
        <x:v>개관연도 제외</x:v>
      </x:c>
      <x:c r="C12" s="11"/>
      <x:c r="D12" s="11"/>
      <x:c r="E12" s="11"/>
      <x:c r="F12" s="11"/>
      <x:c r="G12" s="11"/>
      <x:c r="H12" s="11"/>
      <x:c r="I12" s="11"/>
      <x:c r="J12" s="11"/>
      <x:c r="K12" s="1"/>
      <x:c r="L12" s="1"/>
      <x:c r="M12" s="1"/>
      <x:c r="N12" s="1"/>
      <x:c r="O12" s="1"/>
      <x:c r="P12" s="1"/>
      <x:c r="Q12" s="1"/>
      <x:c r="R12" s="1"/>
    </x:row>
    <x:row r="13" ht="23" customHeight="1">
      <x:c r="A13" s="7" t="n">
        <x:v>2018</x:v>
      </x:c>
      <x:c r="B13" s="7" t="str">
        <x:v>사후</x:v>
      </x:c>
      <x:c r="C13" s="11" t="n">
        <x:v>779</x:v>
      </x:c>
      <x:c r="D13" s="11" t="n">
        <x:v>1371</x:v>
      </x:c>
      <x:c r="E13" s="11" t="n">
        <x:v>112</x:v>
      </x:c>
      <x:c r="F13" s="11" t="n">
        <x:v>203.666666666667</x:v>
      </x:c>
      <x:c r="G13" s="11" t="n">
        <x:v>3587</x:v>
      </x:c>
      <x:c r="H13" s="11" t="n">
        <x:v>6957.66666666667</x:v>
      </x:c>
      <x:c r="I13" s="11" t="n">
        <x:v>26</x:v>
      </x:c>
      <x:c r="J13" s="11" t="n">
        <x:v>85.6666666666667</x:v>
      </x:c>
      <x:c r="K13" s="1"/>
      <x:c r="L13" s="1"/>
      <x:c r="M13" s="1"/>
      <x:c r="N13" s="1"/>
      <x:c r="O13" s="1"/>
      <x:c r="P13" s="1"/>
      <x:c r="Q13" s="1"/>
      <x:c r="R13" s="1"/>
    </x:row>
    <x:row r="14" ht="23" customHeight="1">
      <x:c r="A14" s="7" t="n">
        <x:v>2019</x:v>
      </x:c>
      <x:c r="B14" s="7" t="str">
        <x:v>사후</x:v>
      </x:c>
      <x:c r="C14" s="11" t="n">
        <x:v>787</x:v>
      </x:c>
      <x:c r="D14" s="11" t="n">
        <x:v>1359</x:v>
      </x:c>
      <x:c r="E14" s="11" t="n">
        <x:v>116</x:v>
      </x:c>
      <x:c r="F14" s="11" t="n">
        <x:v>218.666666666667</x:v>
      </x:c>
      <x:c r="G14" s="11" t="n">
        <x:v>3878</x:v>
      </x:c>
      <x:c r="H14" s="11" t="n">
        <x:v>6919.33333333333</x:v>
      </x:c>
      <x:c r="I14" s="11" t="n">
        <x:v>33</x:v>
      </x:c>
      <x:c r="J14" s="11" t="n">
        <x:v>87.6666666666667</x:v>
      </x:c>
      <x:c r="K14" s="1"/>
      <x:c r="L14" s="1"/>
      <x:c r="M14" s="1"/>
      <x:c r="N14" s="1"/>
      <x:c r="O14" s="1"/>
      <x:c r="P14" s="1"/>
      <x:c r="Q14" s="1"/>
      <x:c r="R14" s="1"/>
    </x:row>
    <x:row r="15" ht="2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</x:row>
    <x:row r="21" ht="32" customHeight="1">
      <x:c r="A21" s="3" t="str">
        <x:v>사후기간은 2019년까지입니다. 2017년 개관 사례는 사후 2년, 2018년 개관 사례는 사후 1년입니다.</x:v>
      </x:c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</x:row>
    <x:row r="22" ht="32" customHeight="1">
      <x:c r="A22" s="3" t="str">
        <x:v>R업종은 예술 스포츠 및 여가관련 서비스업입니다.</x:v>
      </x:c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</x:row>
    <x:row r="49" ht="2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</x:row>
    <x:row r="51" ht="2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</x:row>
    <x:row r="56" ht="2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</x:row>
    <x:row r="57" ht="2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</x:row>
    <x:row r="58" ht="2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</x:row>
    <x:row r="59" ht="2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</x:row>
    <x:row r="60" ht="2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</x:row>
    <x:row r="61" ht="2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</x:row>
    <x:row r="62" ht="2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</x:row>
    <x:row r="63" ht="2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</x:row>
    <x:row r="64" ht="2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</x:row>
    <x:row r="65" ht="2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</x:row>
    <x:row r="66" ht="2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</x:row>
    <x:row r="67" ht="23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</x:row>
    <x:row r="68" ht="23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</x:row>
  </x:sheetData>
  <x:mergeCells>
    <x:mergeCell ref="A3:R3"/>
    <x:mergeCell ref="A21:R21"/>
    <x:mergeCell ref="A22:R22"/>
  </x:mergeCells>
  <x:pageMargins left="0.7" right="0.7" top="0.75" bottom="0.75" header="0.3" footer="0.3"/>
  <x:drawing xmlns:r="http://schemas.openxmlformats.org/officeDocument/2006/relationships" r:id="R0927ab8b74714803"/>
</x:worksheet>
</file>

<file path=xl/worksheets/sheet15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0.25" hidden="0" customWidth="1"/>
    <x:col min="2" max="2" width="10.25" hidden="0" customWidth="1"/>
    <x:col min="3" max="3" width="10.25" hidden="0" customWidth="1"/>
    <x:col min="4" max="4" width="10.25" hidden="0" customWidth="1"/>
    <x:col min="5" max="5" width="10.25" hidden="0" customWidth="1"/>
    <x:col min="6" max="6" width="10.25" hidden="0" customWidth="1"/>
    <x:col min="7" max="7" width="10.25" hidden="0" customWidth="1"/>
    <x:col min="8" max="8" width="10.25" hidden="0" customWidth="1"/>
    <x:col min="9" max="9" width="10.25" hidden="0" customWidth="1"/>
    <x:col min="10" max="10" width="10.25" hidden="0" customWidth="1"/>
    <x:col min="11" max="11" width="10.25" hidden="0" customWidth="1"/>
    <x:col min="12" max="12" width="10.25" hidden="0" customWidth="1"/>
    <x:col min="13" max="13" width="10.25" hidden="0" customWidth="1"/>
    <x:col min="14" max="14" width="10.25" hidden="0" customWidth="1"/>
    <x:col min="15" max="15" width="10.25" hidden="0" customWidth="1"/>
    <x:col min="16" max="16" width="10.25" hidden="0" customWidth="1"/>
    <x:col min="17" max="17" width="10.25" hidden="0" customWidth="1"/>
    <x:col min="18" max="18" width="10.25" hidden="0" customWidth="1"/>
  </x:cols>
  <x:sheetData>
    <x:row r="1" ht="28" customHeight="1">
      <x:c r="A1" s="2" t="str">
        <x:v>그림 14 고색뉴지엄 사업체와 종사자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 ht="23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</x:row>
    <x:row r="3" ht="32" customHeight="1">
      <x:c r="A3" s="3" t="str">
        <x:v>수치 출처 그림_연도별처치비교값.csv / 고색뉴지엄 / 개관 2017년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</x:row>
    <x:row r="5" ht="23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</x:row>
    <x:row r="6" ht="64" customHeight="1">
      <x:c r="A6" s="6" t="str">
        <x:v>연도</x:v>
      </x:c>
      <x:c r="B6" s="6" t="str">
        <x:v>구분</x:v>
      </x:c>
      <x:c r="C6" s="6" t="str">
        <x:v>처치 총사업체(개)</x:v>
      </x:c>
      <x:c r="D6" s="6" t="str">
        <x:v>비교 총사업체(개)</x:v>
      </x:c>
      <x:c r="E6" s="6" t="str">
        <x:v>처치 숙박 음식점 사업체(개)</x:v>
      </x:c>
      <x:c r="F6" s="6" t="str">
        <x:v>비교 숙박 음식점 사업체(개)</x:v>
      </x:c>
      <x:c r="G6" s="6" t="str">
        <x:v>처치 전체 종사자(명)</x:v>
      </x:c>
      <x:c r="H6" s="6" t="str">
        <x:v>비교 전체 종사자(명)</x:v>
      </x:c>
      <x:c r="I6" s="6" t="str">
        <x:v>처치 R업종 종사자(명)</x:v>
      </x:c>
      <x:c r="J6" s="6" t="str">
        <x:v>비교 R업종 종사자(명)</x:v>
      </x:c>
      <x:c r="K6" s="1"/>
      <x:c r="L6" s="1"/>
      <x:c r="M6" s="1"/>
      <x:c r="N6" s="1"/>
      <x:c r="O6" s="1"/>
      <x:c r="P6" s="1"/>
      <x:c r="Q6" s="1"/>
      <x:c r="R6" s="1"/>
    </x:row>
    <x:row r="7" ht="23" customHeight="1">
      <x:c r="A7" s="7" t="n">
        <x:v>2012</x:v>
      </x:c>
      <x:c r="B7" s="7" t="str">
        <x:v>사전</x:v>
      </x:c>
      <x:c r="C7" s="11" t="n">
        <x:v>3408</x:v>
      </x:c>
      <x:c r="D7" s="11" t="n">
        <x:v>1470.66666666667</x:v>
      </x:c>
      <x:c r="E7" s="11" t="n">
        <x:v>309</x:v>
      </x:c>
      <x:c r="F7" s="11" t="n">
        <x:v>209</x:v>
      </x:c>
      <x:c r="G7" s="11" t="n">
        <x:v>21033</x:v>
      </x:c>
      <x:c r="H7" s="11" t="n">
        <x:v>6599.66666666667</x:v>
      </x:c>
      <x:c r="I7" s="11" t="n">
        <x:v>263</x:v>
      </x:c>
      <x:c r="J7" s="11" t="n">
        <x:v>162.666666666667</x:v>
      </x:c>
      <x:c r="K7" s="1"/>
      <x:c r="L7" s="1"/>
      <x:c r="M7" s="1"/>
      <x:c r="N7" s="1"/>
      <x:c r="O7" s="1"/>
      <x:c r="P7" s="1"/>
      <x:c r="Q7" s="1"/>
      <x:c r="R7" s="1"/>
    </x:row>
    <x:row r="8" ht="23" customHeight="1">
      <x:c r="A8" s="7" t="n">
        <x:v>2013</x:v>
      </x:c>
      <x:c r="B8" s="7" t="str">
        <x:v>사전</x:v>
      </x:c>
      <x:c r="C8" s="11" t="n">
        <x:v>3435</x:v>
      </x:c>
      <x:c r="D8" s="11" t="n">
        <x:v>1531.33333333333</x:v>
      </x:c>
      <x:c r="E8" s="11" t="n">
        <x:v>316</x:v>
      </x:c>
      <x:c r="F8" s="11" t="n">
        <x:v>213</x:v>
      </x:c>
      <x:c r="G8" s="11" t="n">
        <x:v>20830</x:v>
      </x:c>
      <x:c r="H8" s="11" t="n">
        <x:v>6704</x:v>
      </x:c>
      <x:c r="I8" s="11" t="n">
        <x:v>228</x:v>
      </x:c>
      <x:c r="J8" s="11" t="n">
        <x:v>154.333333333333</x:v>
      </x:c>
      <x:c r="K8" s="1"/>
      <x:c r="L8" s="1"/>
      <x:c r="M8" s="1"/>
      <x:c r="N8" s="1"/>
      <x:c r="O8" s="1"/>
      <x:c r="P8" s="1"/>
      <x:c r="Q8" s="1"/>
      <x:c r="R8" s="1"/>
    </x:row>
    <x:row r="9" ht="23" customHeight="1">
      <x:c r="A9" s="7" t="n">
        <x:v>2014</x:v>
      </x:c>
      <x:c r="B9" s="7" t="str">
        <x:v>사전</x:v>
      </x:c>
      <x:c r="C9" s="11" t="n">
        <x:v>3626</x:v>
      </x:c>
      <x:c r="D9" s="11" t="n">
        <x:v>1641.66666666667</x:v>
      </x:c>
      <x:c r="E9" s="11" t="n">
        <x:v>319</x:v>
      </x:c>
      <x:c r="F9" s="11" t="n">
        <x:v>217</x:v>
      </x:c>
      <x:c r="G9" s="11" t="n">
        <x:v>24429</x:v>
      </x:c>
      <x:c r="H9" s="11" t="n">
        <x:v>7224.33333333333</x:v>
      </x:c>
      <x:c r="I9" s="11" t="n">
        <x:v>196</x:v>
      </x:c>
      <x:c r="J9" s="11" t="n">
        <x:v>171.333333333333</x:v>
      </x:c>
      <x:c r="K9" s="1"/>
      <x:c r="L9" s="1"/>
      <x:c r="M9" s="1"/>
      <x:c r="N9" s="1"/>
      <x:c r="O9" s="1"/>
      <x:c r="P9" s="1"/>
      <x:c r="Q9" s="1"/>
      <x:c r="R9" s="1"/>
    </x:row>
    <x:row r="10" ht="23" customHeight="1">
      <x:c r="A10" s="7" t="n">
        <x:v>2015</x:v>
      </x:c>
      <x:c r="B10" s="7" t="str">
        <x:v>사전</x:v>
      </x:c>
      <x:c r="C10" s="11" t="n">
        <x:v>3678</x:v>
      </x:c>
      <x:c r="D10" s="11" t="n">
        <x:v>1761.66666666667</x:v>
      </x:c>
      <x:c r="E10" s="11" t="n">
        <x:v>322</x:v>
      </x:c>
      <x:c r="F10" s="11" t="n">
        <x:v>228.333333333333</x:v>
      </x:c>
      <x:c r="G10" s="11" t="n">
        <x:v>24638</x:v>
      </x:c>
      <x:c r="H10" s="11" t="n">
        <x:v>7952.33333333333</x:v>
      </x:c>
      <x:c r="I10" s="11" t="n">
        <x:v>220</x:v>
      </x:c>
      <x:c r="J10" s="11" t="n">
        <x:v>182</x:v>
      </x:c>
      <x:c r="K10" s="1"/>
      <x:c r="L10" s="1"/>
      <x:c r="M10" s="1"/>
      <x:c r="N10" s="1"/>
      <x:c r="O10" s="1"/>
      <x:c r="P10" s="1"/>
      <x:c r="Q10" s="1"/>
      <x:c r="R10" s="1"/>
    </x:row>
    <x:row r="11" ht="23" customHeight="1">
      <x:c r="A11" s="7" t="n">
        <x:v>2016</x:v>
      </x:c>
      <x:c r="B11" s="7" t="str">
        <x:v>사전</x:v>
      </x:c>
      <x:c r="C11" s="11" t="n">
        <x:v>3774</x:v>
      </x:c>
      <x:c r="D11" s="11" t="n">
        <x:v>1804.66666666667</x:v>
      </x:c>
      <x:c r="E11" s="11" t="n">
        <x:v>327</x:v>
      </x:c>
      <x:c r="F11" s="11" t="n">
        <x:v>230.666666666667</x:v>
      </x:c>
      <x:c r="G11" s="11" t="n">
        <x:v>27853</x:v>
      </x:c>
      <x:c r="H11" s="11" t="n">
        <x:v>8351</x:v>
      </x:c>
      <x:c r="I11" s="11" t="n">
        <x:v>206</x:v>
      </x:c>
      <x:c r="J11" s="11" t="n">
        <x:v>166.333333333333</x:v>
      </x:c>
      <x:c r="K11" s="1"/>
      <x:c r="L11" s="1"/>
      <x:c r="M11" s="1"/>
      <x:c r="N11" s="1"/>
      <x:c r="O11" s="1"/>
      <x:c r="P11" s="1"/>
      <x:c r="Q11" s="1"/>
      <x:c r="R11" s="1"/>
    </x:row>
    <x:row r="12" ht="23" customHeight="1">
      <x:c r="A12" s="7" t="n">
        <x:v>2017</x:v>
      </x:c>
      <x:c r="B12" s="7" t="str">
        <x:v>개관연도 제외</x:v>
      </x:c>
      <x:c r="C12" s="11"/>
      <x:c r="D12" s="11"/>
      <x:c r="E12" s="11"/>
      <x:c r="F12" s="11"/>
      <x:c r="G12" s="11"/>
      <x:c r="H12" s="11"/>
      <x:c r="I12" s="11"/>
      <x:c r="J12" s="11"/>
      <x:c r="K12" s="1"/>
      <x:c r="L12" s="1"/>
      <x:c r="M12" s="1"/>
      <x:c r="N12" s="1"/>
      <x:c r="O12" s="1"/>
      <x:c r="P12" s="1"/>
      <x:c r="Q12" s="1"/>
      <x:c r="R12" s="1"/>
    </x:row>
    <x:row r="13" ht="23" customHeight="1">
      <x:c r="A13" s="7" t="n">
        <x:v>2018</x:v>
      </x:c>
      <x:c r="B13" s="7" t="str">
        <x:v>사후</x:v>
      </x:c>
      <x:c r="C13" s="11" t="n">
        <x:v>4267</x:v>
      </x:c>
      <x:c r="D13" s="11" t="n">
        <x:v>1932</x:v>
      </x:c>
      <x:c r="E13" s="11" t="n">
        <x:v>365</x:v>
      </x:c>
      <x:c r="F13" s="11" t="n">
        <x:v>274.666666666667</x:v>
      </x:c>
      <x:c r="G13" s="11" t="n">
        <x:v>33470</x:v>
      </x:c>
      <x:c r="H13" s="11" t="n">
        <x:v>9041</x:v>
      </x:c>
      <x:c r="I13" s="11" t="n">
        <x:v>263</x:v>
      </x:c>
      <x:c r="J13" s="11" t="n">
        <x:v>224.333333333333</x:v>
      </x:c>
      <x:c r="K13" s="1"/>
      <x:c r="L13" s="1"/>
      <x:c r="M13" s="1"/>
      <x:c r="N13" s="1"/>
      <x:c r="O13" s="1"/>
      <x:c r="P13" s="1"/>
      <x:c r="Q13" s="1"/>
      <x:c r="R13" s="1"/>
    </x:row>
    <x:row r="14" ht="23" customHeight="1">
      <x:c r="A14" s="7" t="n">
        <x:v>2019</x:v>
      </x:c>
      <x:c r="B14" s="7" t="str">
        <x:v>사후</x:v>
      </x:c>
      <x:c r="C14" s="11" t="n">
        <x:v>3961</x:v>
      </x:c>
      <x:c r="D14" s="11" t="n">
        <x:v>1999</x:v>
      </x:c>
      <x:c r="E14" s="11" t="n">
        <x:v>383</x:v>
      </x:c>
      <x:c r="F14" s="11" t="n">
        <x:v>282</x:v>
      </x:c>
      <x:c r="G14" s="11" t="n">
        <x:v>34167</x:v>
      </x:c>
      <x:c r="H14" s="11" t="n">
        <x:v>9589</x:v>
      </x:c>
      <x:c r="I14" s="11" t="n">
        <x:v>259</x:v>
      </x:c>
      <x:c r="J14" s="11" t="n">
        <x:v>222</x:v>
      </x:c>
      <x:c r="K14" s="1"/>
      <x:c r="L14" s="1"/>
      <x:c r="M14" s="1"/>
      <x:c r="N14" s="1"/>
      <x:c r="O14" s="1"/>
      <x:c r="P14" s="1"/>
      <x:c r="Q14" s="1"/>
      <x:c r="R14" s="1"/>
    </x:row>
    <x:row r="15" ht="2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</x:row>
    <x:row r="21" ht="32" customHeight="1">
      <x:c r="A21" s="3" t="str">
        <x:v>사후기간은 2019년까지입니다. 2017년 개관 사례는 사후 2년, 2018년 개관 사례는 사후 1년입니다.</x:v>
      </x:c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</x:row>
    <x:row r="22" ht="32" customHeight="1">
      <x:c r="A22" s="3" t="str">
        <x:v>R업종은 예술 스포츠 및 여가관련 서비스업입니다.</x:v>
      </x:c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</x:row>
    <x:row r="49" ht="2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</x:row>
    <x:row r="51" ht="2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</x:row>
    <x:row r="56" ht="2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</x:row>
    <x:row r="57" ht="2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</x:row>
    <x:row r="58" ht="2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</x:row>
    <x:row r="59" ht="2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</x:row>
    <x:row r="60" ht="2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</x:row>
    <x:row r="61" ht="2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</x:row>
    <x:row r="62" ht="2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</x:row>
    <x:row r="63" ht="2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</x:row>
    <x:row r="64" ht="2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</x:row>
    <x:row r="65" ht="2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</x:row>
    <x:row r="66" ht="2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</x:row>
    <x:row r="67" ht="23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</x:row>
    <x:row r="68" ht="23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</x:row>
  </x:sheetData>
  <x:mergeCells>
    <x:mergeCell ref="A3:R3"/>
    <x:mergeCell ref="A21:R21"/>
    <x:mergeCell ref="A22:R22"/>
  </x:mergeCells>
  <x:pageMargins left="0.7" right="0.7" top="0.75" bottom="0.75" header="0.3" footer="0.3"/>
  <x:drawing xmlns:r="http://schemas.openxmlformats.org/officeDocument/2006/relationships" r:id="R359916fbdd604737"/>
</x:worksheet>
</file>

<file path=xl/worksheets/sheet16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0.25" hidden="0" customWidth="1"/>
    <x:col min="2" max="2" width="10.25" hidden="0" customWidth="1"/>
    <x:col min="3" max="3" width="10.25" hidden="0" customWidth="1"/>
    <x:col min="4" max="4" width="10.25" hidden="0" customWidth="1"/>
    <x:col min="5" max="5" width="10.25" hidden="0" customWidth="1"/>
    <x:col min="6" max="6" width="10.25" hidden="0" customWidth="1"/>
    <x:col min="7" max="7" width="10.25" hidden="0" customWidth="1"/>
    <x:col min="8" max="8" width="10.25" hidden="0" customWidth="1"/>
    <x:col min="9" max="9" width="10.25" hidden="0" customWidth="1"/>
    <x:col min="10" max="10" width="10.25" hidden="0" customWidth="1"/>
    <x:col min="11" max="11" width="10.25" hidden="0" customWidth="1"/>
    <x:col min="12" max="12" width="10.25" hidden="0" customWidth="1"/>
    <x:col min="13" max="13" width="10.25" hidden="0" customWidth="1"/>
    <x:col min="14" max="14" width="10.25" hidden="0" customWidth="1"/>
    <x:col min="15" max="15" width="10.25" hidden="0" customWidth="1"/>
    <x:col min="16" max="16" width="10.25" hidden="0" customWidth="1"/>
    <x:col min="17" max="17" width="10.25" hidden="0" customWidth="1"/>
    <x:col min="18" max="18" width="10.25" hidden="0" customWidth="1"/>
  </x:cols>
  <x:sheetData>
    <x:row r="1" ht="28" customHeight="1">
      <x:c r="A1" s="2" t="str">
        <x:v>그림 15 국립현대미술관 청주 사업체와 종사자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 ht="23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</x:row>
    <x:row r="3" ht="32" customHeight="1">
      <x:c r="A3" s="3" t="str">
        <x:v>수치 출처 그림_연도별처치비교값.csv / 국립현대미술관 청주 / 개관 2018년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</x:row>
    <x:row r="5" ht="23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</x:row>
    <x:row r="6" ht="64" customHeight="1">
      <x:c r="A6" s="6" t="str">
        <x:v>연도</x:v>
      </x:c>
      <x:c r="B6" s="6" t="str">
        <x:v>구분</x:v>
      </x:c>
      <x:c r="C6" s="6" t="str">
        <x:v>처치 총사업체(개)</x:v>
      </x:c>
      <x:c r="D6" s="6" t="str">
        <x:v>비교 총사업체(개)</x:v>
      </x:c>
      <x:c r="E6" s="6" t="str">
        <x:v>처치 숙박 음식점 사업체(개)</x:v>
      </x:c>
      <x:c r="F6" s="6" t="str">
        <x:v>비교 숙박 음식점 사업체(개)</x:v>
      </x:c>
      <x:c r="G6" s="6" t="str">
        <x:v>처치 전체 종사자(명)</x:v>
      </x:c>
      <x:c r="H6" s="6" t="str">
        <x:v>비교 전체 종사자(명)</x:v>
      </x:c>
      <x:c r="I6" s="6" t="str">
        <x:v>처치 R업종 종사자(명)</x:v>
      </x:c>
      <x:c r="J6" s="6" t="str">
        <x:v>비교 R업종 종사자(명)</x:v>
      </x:c>
      <x:c r="K6" s="1"/>
      <x:c r="L6" s="1"/>
      <x:c r="M6" s="1"/>
      <x:c r="N6" s="1"/>
      <x:c r="O6" s="1"/>
      <x:c r="P6" s="1"/>
      <x:c r="Q6" s="1"/>
      <x:c r="R6" s="1"/>
    </x:row>
    <x:row r="7" ht="23" customHeight="1">
      <x:c r="A7" s="7" t="n">
        <x:v>2013</x:v>
      </x:c>
      <x:c r="B7" s="7" t="str">
        <x:v>사전</x:v>
      </x:c>
      <x:c r="C7" s="11" t="n">
        <x:v>881</x:v>
      </x:c>
      <x:c r="D7" s="11" t="n">
        <x:v>854.666666666667</x:v>
      </x:c>
      <x:c r="E7" s="11" t="n">
        <x:v>181</x:v>
      </x:c>
      <x:c r="F7" s="11" t="n">
        <x:v>177.333333333333</x:v>
      </x:c>
      <x:c r="G7" s="11" t="n">
        <x:v>3329</x:v>
      </x:c>
      <x:c r="H7" s="11" t="n">
        <x:v>3103</x:v>
      </x:c>
      <x:c r="I7" s="11" t="n">
        <x:v>68</x:v>
      </x:c>
      <x:c r="J7" s="11" t="n">
        <x:v>54.3333333333333</x:v>
      </x:c>
      <x:c r="K7" s="1"/>
      <x:c r="L7" s="1"/>
      <x:c r="M7" s="1"/>
      <x:c r="N7" s="1"/>
      <x:c r="O7" s="1"/>
      <x:c r="P7" s="1"/>
      <x:c r="Q7" s="1"/>
      <x:c r="R7" s="1"/>
    </x:row>
    <x:row r="8" ht="23" customHeight="1">
      <x:c r="A8" s="7" t="n">
        <x:v>2014</x:v>
      </x:c>
      <x:c r="B8" s="7" t="str">
        <x:v>사전</x:v>
      </x:c>
      <x:c r="C8" s="11" t="n">
        <x:v>863</x:v>
      </x:c>
      <x:c r="D8" s="11" t="n">
        <x:v>854</x:v>
      </x:c>
      <x:c r="E8" s="11" t="n">
        <x:v>179</x:v>
      </x:c>
      <x:c r="F8" s="11" t="n">
        <x:v>173.666666666667</x:v>
      </x:c>
      <x:c r="G8" s="11" t="n">
        <x:v>3123</x:v>
      </x:c>
      <x:c r="H8" s="11" t="n">
        <x:v>3047</x:v>
      </x:c>
      <x:c r="I8" s="11" t="n">
        <x:v>59</x:v>
      </x:c>
      <x:c r="J8" s="11" t="n">
        <x:v>60.6666666666667</x:v>
      </x:c>
      <x:c r="K8" s="1"/>
      <x:c r="L8" s="1"/>
      <x:c r="M8" s="1"/>
      <x:c r="N8" s="1"/>
      <x:c r="O8" s="1"/>
      <x:c r="P8" s="1"/>
      <x:c r="Q8" s="1"/>
      <x:c r="R8" s="1"/>
    </x:row>
    <x:row r="9" ht="23" customHeight="1">
      <x:c r="A9" s="7" t="n">
        <x:v>2015</x:v>
      </x:c>
      <x:c r="B9" s="7" t="str">
        <x:v>사전</x:v>
      </x:c>
      <x:c r="C9" s="11" t="n">
        <x:v>806</x:v>
      </x:c>
      <x:c r="D9" s="11" t="n">
        <x:v>871.666666666667</x:v>
      </x:c>
      <x:c r="E9" s="11" t="n">
        <x:v>155</x:v>
      </x:c>
      <x:c r="F9" s="11" t="n">
        <x:v>176</x:v>
      </x:c>
      <x:c r="G9" s="11" t="n">
        <x:v>2445</x:v>
      </x:c>
      <x:c r="H9" s="11" t="n">
        <x:v>3214</x:v>
      </x:c>
      <x:c r="I9" s="11" t="n">
        <x:v>50</x:v>
      </x:c>
      <x:c r="J9" s="11" t="n">
        <x:v>62.6666666666667</x:v>
      </x:c>
      <x:c r="K9" s="1"/>
      <x:c r="L9" s="1"/>
      <x:c r="M9" s="1"/>
      <x:c r="N9" s="1"/>
      <x:c r="O9" s="1"/>
      <x:c r="P9" s="1"/>
      <x:c r="Q9" s="1"/>
      <x:c r="R9" s="1"/>
    </x:row>
    <x:row r="10" ht="23" customHeight="1">
      <x:c r="A10" s="7" t="n">
        <x:v>2016</x:v>
      </x:c>
      <x:c r="B10" s="7" t="str">
        <x:v>사전</x:v>
      </x:c>
      <x:c r="C10" s="11" t="n">
        <x:v>821</x:v>
      </x:c>
      <x:c r="D10" s="11" t="n">
        <x:v>856</x:v>
      </x:c>
      <x:c r="E10" s="11" t="n">
        <x:v>159</x:v>
      </x:c>
      <x:c r="F10" s="11" t="n">
        <x:v>170.666666666667</x:v>
      </x:c>
      <x:c r="G10" s="11" t="n">
        <x:v>2352</x:v>
      </x:c>
      <x:c r="H10" s="11" t="n">
        <x:v>3140</x:v>
      </x:c>
      <x:c r="I10" s="11" t="n">
        <x:v>55</x:v>
      </x:c>
      <x:c r="J10" s="11" t="n">
        <x:v>60.3333333333333</x:v>
      </x:c>
      <x:c r="K10" s="1"/>
      <x:c r="L10" s="1"/>
      <x:c r="M10" s="1"/>
      <x:c r="N10" s="1"/>
      <x:c r="O10" s="1"/>
      <x:c r="P10" s="1"/>
      <x:c r="Q10" s="1"/>
      <x:c r="R10" s="1"/>
    </x:row>
    <x:row r="11" ht="23" customHeight="1">
      <x:c r="A11" s="7" t="n">
        <x:v>2017</x:v>
      </x:c>
      <x:c r="B11" s="7" t="str">
        <x:v>사전</x:v>
      </x:c>
      <x:c r="C11" s="11" t="n">
        <x:v>779</x:v>
      </x:c>
      <x:c r="D11" s="11" t="n">
        <x:v>831.333333333333</x:v>
      </x:c>
      <x:c r="E11" s="11" t="n">
        <x:v>156</x:v>
      </x:c>
      <x:c r="F11" s="11" t="n">
        <x:v>172</x:v>
      </x:c>
      <x:c r="G11" s="11" t="n">
        <x:v>3257</x:v>
      </x:c>
      <x:c r="H11" s="11" t="n">
        <x:v>3187</x:v>
      </x:c>
      <x:c r="I11" s="11" t="n">
        <x:v>48</x:v>
      </x:c>
      <x:c r="J11" s="11" t="n">
        <x:v>58.3333333333333</x:v>
      </x:c>
      <x:c r="K11" s="1"/>
      <x:c r="L11" s="1"/>
      <x:c r="M11" s="1"/>
      <x:c r="N11" s="1"/>
      <x:c r="O11" s="1"/>
      <x:c r="P11" s="1"/>
      <x:c r="Q11" s="1"/>
      <x:c r="R11" s="1"/>
    </x:row>
    <x:row r="12" ht="23" customHeight="1">
      <x:c r="A12" s="7" t="n">
        <x:v>2018</x:v>
      </x:c>
      <x:c r="B12" s="7" t="str">
        <x:v>개관연도 제외</x:v>
      </x:c>
      <x:c r="C12" s="11"/>
      <x:c r="D12" s="11"/>
      <x:c r="E12" s="11"/>
      <x:c r="F12" s="11"/>
      <x:c r="G12" s="11"/>
      <x:c r="H12" s="11"/>
      <x:c r="I12" s="11"/>
      <x:c r="J12" s="11"/>
      <x:c r="K12" s="1"/>
      <x:c r="L12" s="1"/>
      <x:c r="M12" s="1"/>
      <x:c r="N12" s="1"/>
      <x:c r="O12" s="1"/>
      <x:c r="P12" s="1"/>
      <x:c r="Q12" s="1"/>
      <x:c r="R12" s="1"/>
    </x:row>
    <x:row r="13" ht="23" customHeight="1">
      <x:c r="A13" s="7" t="n">
        <x:v>2019</x:v>
      </x:c>
      <x:c r="B13" s="7" t="str">
        <x:v>사후</x:v>
      </x:c>
      <x:c r="C13" s="11" t="n">
        <x:v>853</x:v>
      </x:c>
      <x:c r="D13" s="11" t="n">
        <x:v>864</x:v>
      </x:c>
      <x:c r="E13" s="11" t="n">
        <x:v>159</x:v>
      </x:c>
      <x:c r="F13" s="11" t="n">
        <x:v>185.333333333333</x:v>
      </x:c>
      <x:c r="G13" s="11" t="n">
        <x:v>3652</x:v>
      </x:c>
      <x:c r="H13" s="11" t="n">
        <x:v>3290.33333333333</x:v>
      </x:c>
      <x:c r="I13" s="11" t="n">
        <x:v>165</x:v>
      </x:c>
      <x:c r="J13" s="11" t="n">
        <x:v>59.3333333333333</x:v>
      </x:c>
      <x:c r="K13" s="1"/>
      <x:c r="L13" s="1"/>
      <x:c r="M13" s="1"/>
      <x:c r="N13" s="1"/>
      <x:c r="O13" s="1"/>
      <x:c r="P13" s="1"/>
      <x:c r="Q13" s="1"/>
      <x:c r="R13" s="1"/>
    </x:row>
    <x:row r="14" ht="2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</x:row>
    <x:row r="15" ht="2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</x:row>
    <x:row r="21" ht="32" customHeight="1">
      <x:c r="A21" s="3" t="str">
        <x:v>사후기간은 2019년까지입니다. 2017년 개관 사례는 사후 2년, 2018년 개관 사례는 사후 1년입니다.</x:v>
      </x:c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</x:row>
    <x:row r="22" ht="32" customHeight="1">
      <x:c r="A22" s="3" t="str">
        <x:v>R업종은 예술 스포츠 및 여가관련 서비스업입니다.</x:v>
      </x:c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</x:row>
    <x:row r="49" ht="2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</x:row>
    <x:row r="51" ht="2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</x:row>
    <x:row r="56" ht="2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</x:row>
    <x:row r="57" ht="2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</x:row>
    <x:row r="58" ht="2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</x:row>
    <x:row r="59" ht="2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</x:row>
    <x:row r="60" ht="2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</x:row>
    <x:row r="61" ht="2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</x:row>
    <x:row r="62" ht="2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</x:row>
    <x:row r="63" ht="2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</x:row>
    <x:row r="64" ht="2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</x:row>
    <x:row r="65" ht="2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</x:row>
    <x:row r="66" ht="2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</x:row>
    <x:row r="67" ht="23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</x:row>
    <x:row r="68" ht="23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</x:row>
  </x:sheetData>
  <x:mergeCells>
    <x:mergeCell ref="A3:R3"/>
    <x:mergeCell ref="A21:R21"/>
    <x:mergeCell ref="A22:R22"/>
  </x:mergeCells>
  <x:pageMargins left="0.7" right="0.7" top="0.75" bottom="0.75" header="0.3" footer="0.3"/>
  <x:drawing xmlns:r="http://schemas.openxmlformats.org/officeDocument/2006/relationships" r:id="Re8f0b5edfa5f449c"/>
</x:worksheet>
</file>

<file path=xl/worksheets/sheet17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0.25" hidden="0" customWidth="1"/>
    <x:col min="2" max="2" width="10.25" hidden="0" customWidth="1"/>
    <x:col min="3" max="3" width="10.25" hidden="0" customWidth="1"/>
    <x:col min="4" max="4" width="10.25" hidden="0" customWidth="1"/>
    <x:col min="5" max="5" width="10.25" hidden="0" customWidth="1"/>
    <x:col min="6" max="6" width="10.25" hidden="0" customWidth="1"/>
    <x:col min="7" max="7" width="10.25" hidden="0" customWidth="1"/>
    <x:col min="8" max="8" width="10.25" hidden="0" customWidth="1"/>
    <x:col min="9" max="9" width="10.25" hidden="0" customWidth="1"/>
    <x:col min="10" max="10" width="10.25" hidden="0" customWidth="1"/>
    <x:col min="11" max="11" width="10.25" hidden="0" customWidth="1"/>
    <x:col min="12" max="12" width="10.25" hidden="0" customWidth="1"/>
    <x:col min="13" max="13" width="10.25" hidden="0" customWidth="1"/>
    <x:col min="14" max="14" width="10.25" hidden="0" customWidth="1"/>
    <x:col min="15" max="15" width="10.25" hidden="0" customWidth="1"/>
    <x:col min="16" max="16" width="10.25" hidden="0" customWidth="1"/>
    <x:col min="17" max="17" width="10.25" hidden="0" customWidth="1"/>
    <x:col min="18" max="18" width="10.25" hidden="0" customWidth="1"/>
  </x:cols>
  <x:sheetData>
    <x:row r="1" ht="28" customHeight="1">
      <x:c r="A1" s="2" t="str">
        <x:v>그림 16 팔복예술공장 사업체와 종사자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 ht="23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</x:row>
    <x:row r="3" ht="32" customHeight="1">
      <x:c r="A3" s="3" t="str">
        <x:v>수치 출처 그림_연도별처치비교값.csv / 팔복예술공장 / 개관 2018년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</x:row>
    <x:row r="5" ht="23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</x:row>
    <x:row r="6" ht="64" customHeight="1">
      <x:c r="A6" s="6" t="str">
        <x:v>연도</x:v>
      </x:c>
      <x:c r="B6" s="6" t="str">
        <x:v>구분</x:v>
      </x:c>
      <x:c r="C6" s="6" t="str">
        <x:v>처치 총사업체(개)</x:v>
      </x:c>
      <x:c r="D6" s="6" t="str">
        <x:v>비교 총사업체(개)</x:v>
      </x:c>
      <x:c r="E6" s="6" t="str">
        <x:v>처치 숙박 음식점 사업체(개)</x:v>
      </x:c>
      <x:c r="F6" s="6" t="str">
        <x:v>비교 숙박 음식점 사업체(개)</x:v>
      </x:c>
      <x:c r="G6" s="6" t="str">
        <x:v>처치 전체 종사자(명)</x:v>
      </x:c>
      <x:c r="H6" s="6" t="str">
        <x:v>비교 전체 종사자(명)</x:v>
      </x:c>
      <x:c r="I6" s="6" t="str">
        <x:v>처치 R업종 종사자(명)</x:v>
      </x:c>
      <x:c r="J6" s="6" t="str">
        <x:v>비교 R업종 종사자(명)</x:v>
      </x:c>
      <x:c r="K6" s="1"/>
      <x:c r="L6" s="1"/>
      <x:c r="M6" s="1"/>
      <x:c r="N6" s="1"/>
      <x:c r="O6" s="1"/>
      <x:c r="P6" s="1"/>
      <x:c r="Q6" s="1"/>
      <x:c r="R6" s="1"/>
    </x:row>
    <x:row r="7" ht="23" customHeight="1">
      <x:c r="A7" s="7" t="n">
        <x:v>2013</x:v>
      </x:c>
      <x:c r="B7" s="7" t="str">
        <x:v>사전</x:v>
      </x:c>
      <x:c r="C7" s="11" t="n">
        <x:v>1935</x:v>
      </x:c>
      <x:c r="D7" s="11" t="n">
        <x:v>1700.66666666667</x:v>
      </x:c>
      <x:c r="E7" s="11" t="n">
        <x:v>118</x:v>
      </x:c>
      <x:c r="F7" s="11" t="n">
        <x:v>290</x:v>
      </x:c>
      <x:c r="G7" s="11" t="n">
        <x:v>16548</x:v>
      </x:c>
      <x:c r="H7" s="11" t="n">
        <x:v>11607</x:v>
      </x:c>
      <x:c r="I7" s="11" t="n">
        <x:v>23</x:v>
      </x:c>
      <x:c r="J7" s="11" t="n">
        <x:v>180</x:v>
      </x:c>
      <x:c r="K7" s="1"/>
      <x:c r="L7" s="1"/>
      <x:c r="M7" s="1"/>
      <x:c r="N7" s="1"/>
      <x:c r="O7" s="1"/>
      <x:c r="P7" s="1"/>
      <x:c r="Q7" s="1"/>
      <x:c r="R7" s="1"/>
    </x:row>
    <x:row r="8" ht="23" customHeight="1">
      <x:c r="A8" s="7" t="n">
        <x:v>2014</x:v>
      </x:c>
      <x:c r="B8" s="7" t="str">
        <x:v>사전</x:v>
      </x:c>
      <x:c r="C8" s="11" t="n">
        <x:v>2184</x:v>
      </x:c>
      <x:c r="D8" s="11" t="n">
        <x:v>1780.66666666667</x:v>
      </x:c>
      <x:c r="E8" s="11" t="n">
        <x:v>128</x:v>
      </x:c>
      <x:c r="F8" s="11" t="n">
        <x:v>292.333333333333</x:v>
      </x:c>
      <x:c r="G8" s="11" t="n">
        <x:v>16706</x:v>
      </x:c>
      <x:c r="H8" s="11" t="n">
        <x:v>11356.6666666667</x:v>
      </x:c>
      <x:c r="I8" s="11" t="n">
        <x:v>31</x:v>
      </x:c>
      <x:c r="J8" s="11" t="n">
        <x:v>165.333333333333</x:v>
      </x:c>
      <x:c r="K8" s="1"/>
      <x:c r="L8" s="1"/>
      <x:c r="M8" s="1"/>
      <x:c r="N8" s="1"/>
      <x:c r="O8" s="1"/>
      <x:c r="P8" s="1"/>
      <x:c r="Q8" s="1"/>
      <x:c r="R8" s="1"/>
    </x:row>
    <x:row r="9" ht="23" customHeight="1">
      <x:c r="A9" s="7" t="n">
        <x:v>2015</x:v>
      </x:c>
      <x:c r="B9" s="7" t="str">
        <x:v>사전</x:v>
      </x:c>
      <x:c r="C9" s="11" t="n">
        <x:v>2128</x:v>
      </x:c>
      <x:c r="D9" s="11" t="n">
        <x:v>1791.66666666667</x:v>
      </x:c>
      <x:c r="E9" s="11" t="n">
        <x:v>122</x:v>
      </x:c>
      <x:c r="F9" s="11" t="n">
        <x:v>295</x:v>
      </x:c>
      <x:c r="G9" s="11" t="n">
        <x:v>16928</x:v>
      </x:c>
      <x:c r="H9" s="11" t="n">
        <x:v>11463</x:v>
      </x:c>
      <x:c r="I9" s="11" t="n">
        <x:v>29</x:v>
      </x:c>
      <x:c r="J9" s="11" t="n">
        <x:v>139.333333333333</x:v>
      </x:c>
      <x:c r="K9" s="1"/>
      <x:c r="L9" s="1"/>
      <x:c r="M9" s="1"/>
      <x:c r="N9" s="1"/>
      <x:c r="O9" s="1"/>
      <x:c r="P9" s="1"/>
      <x:c r="Q9" s="1"/>
      <x:c r="R9" s="1"/>
    </x:row>
    <x:row r="10" ht="23" customHeight="1">
      <x:c r="A10" s="7" t="n">
        <x:v>2016</x:v>
      </x:c>
      <x:c r="B10" s="7" t="str">
        <x:v>사전</x:v>
      </x:c>
      <x:c r="C10" s="11" t="n">
        <x:v>1846</x:v>
      </x:c>
      <x:c r="D10" s="11" t="n">
        <x:v>1797.33333333333</x:v>
      </x:c>
      <x:c r="E10" s="11" t="n">
        <x:v>116</x:v>
      </x:c>
      <x:c r="F10" s="11" t="n">
        <x:v>300.666666666667</x:v>
      </x:c>
      <x:c r="G10" s="11" t="n">
        <x:v>15966</x:v>
      </x:c>
      <x:c r="H10" s="11" t="n">
        <x:v>11688</x:v>
      </x:c>
      <x:c r="I10" s="11" t="n">
        <x:v>28</x:v>
      </x:c>
      <x:c r="J10" s="11" t="n">
        <x:v>172.333333333333</x:v>
      </x:c>
      <x:c r="K10" s="1"/>
      <x:c r="L10" s="1"/>
      <x:c r="M10" s="1"/>
      <x:c r="N10" s="1"/>
      <x:c r="O10" s="1"/>
      <x:c r="P10" s="1"/>
      <x:c r="Q10" s="1"/>
      <x:c r="R10" s="1"/>
    </x:row>
    <x:row r="11" ht="23" customHeight="1">
      <x:c r="A11" s="7" t="n">
        <x:v>2017</x:v>
      </x:c>
      <x:c r="B11" s="7" t="str">
        <x:v>사전</x:v>
      </x:c>
      <x:c r="C11" s="11" t="n">
        <x:v>1755</x:v>
      </x:c>
      <x:c r="D11" s="11" t="n">
        <x:v>1822.66666666667</x:v>
      </x:c>
      <x:c r="E11" s="11" t="n">
        <x:v>116</x:v>
      </x:c>
      <x:c r="F11" s="11" t="n">
        <x:v>305.666666666667</x:v>
      </x:c>
      <x:c r="G11" s="11" t="n">
        <x:v>15652</x:v>
      </x:c>
      <x:c r="H11" s="11" t="n">
        <x:v>11505.6666666667</x:v>
      </x:c>
      <x:c r="I11" s="11" t="n">
        <x:v>37</x:v>
      </x:c>
      <x:c r="J11" s="11" t="n">
        <x:v>173.666666666667</x:v>
      </x:c>
      <x:c r="K11" s="1"/>
      <x:c r="L11" s="1"/>
      <x:c r="M11" s="1"/>
      <x:c r="N11" s="1"/>
      <x:c r="O11" s="1"/>
      <x:c r="P11" s="1"/>
      <x:c r="Q11" s="1"/>
      <x:c r="R11" s="1"/>
    </x:row>
    <x:row r="12" ht="23" customHeight="1">
      <x:c r="A12" s="7" t="n">
        <x:v>2018</x:v>
      </x:c>
      <x:c r="B12" s="7" t="str">
        <x:v>개관연도 제외</x:v>
      </x:c>
      <x:c r="C12" s="11"/>
      <x:c r="D12" s="11"/>
      <x:c r="E12" s="11"/>
      <x:c r="F12" s="11"/>
      <x:c r="G12" s="11"/>
      <x:c r="H12" s="11"/>
      <x:c r="I12" s="11"/>
      <x:c r="J12" s="11"/>
      <x:c r="K12" s="1"/>
      <x:c r="L12" s="1"/>
      <x:c r="M12" s="1"/>
      <x:c r="N12" s="1"/>
      <x:c r="O12" s="1"/>
      <x:c r="P12" s="1"/>
      <x:c r="Q12" s="1"/>
      <x:c r="R12" s="1"/>
    </x:row>
    <x:row r="13" ht="23" customHeight="1">
      <x:c r="A13" s="7" t="n">
        <x:v>2019</x:v>
      </x:c>
      <x:c r="B13" s="7" t="str">
        <x:v>사후</x:v>
      </x:c>
      <x:c r="C13" s="11" t="n">
        <x:v>1807</x:v>
      </x:c>
      <x:c r="D13" s="11" t="n">
        <x:v>1889.66666666667</x:v>
      </x:c>
      <x:c r="E13" s="11" t="n">
        <x:v>120</x:v>
      </x:c>
      <x:c r="F13" s="11" t="n">
        <x:v>324.666666666667</x:v>
      </x:c>
      <x:c r="G13" s="11" t="n">
        <x:v>16187</x:v>
      </x:c>
      <x:c r="H13" s="11" t="n">
        <x:v>11858.3333333333</x:v>
      </x:c>
      <x:c r="I13" s="11" t="n">
        <x:v>37</x:v>
      </x:c>
      <x:c r="J13" s="11" t="n">
        <x:v>187.666666666667</x:v>
      </x:c>
      <x:c r="K13" s="1"/>
      <x:c r="L13" s="1"/>
      <x:c r="M13" s="1"/>
      <x:c r="N13" s="1"/>
      <x:c r="O13" s="1"/>
      <x:c r="P13" s="1"/>
      <x:c r="Q13" s="1"/>
      <x:c r="R13" s="1"/>
    </x:row>
    <x:row r="14" ht="2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</x:row>
    <x:row r="15" ht="2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</x:row>
    <x:row r="21" ht="32" customHeight="1">
      <x:c r="A21" s="3" t="str">
        <x:v>사후기간은 2019년까지입니다. 2017년 개관 사례는 사후 2년, 2018년 개관 사례는 사후 1년입니다.</x:v>
      </x:c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</x:row>
    <x:row r="22" ht="32" customHeight="1">
      <x:c r="A22" s="3" t="str">
        <x:v>R업종은 예술 스포츠 및 여가관련 서비스업입니다.</x:v>
      </x:c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</x:row>
    <x:row r="49" ht="2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</x:row>
    <x:row r="51" ht="2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</x:row>
    <x:row r="56" ht="2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</x:row>
    <x:row r="57" ht="2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</x:row>
    <x:row r="58" ht="2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</x:row>
    <x:row r="59" ht="2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</x:row>
    <x:row r="60" ht="2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</x:row>
    <x:row r="61" ht="2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</x:row>
    <x:row r="62" ht="2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</x:row>
    <x:row r="63" ht="2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</x:row>
    <x:row r="64" ht="2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</x:row>
    <x:row r="65" ht="2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</x:row>
    <x:row r="66" ht="2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</x:row>
    <x:row r="67" ht="23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</x:row>
    <x:row r="68" ht="23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</x:row>
  </x:sheetData>
  <x:mergeCells>
    <x:mergeCell ref="A3:R3"/>
    <x:mergeCell ref="A21:R21"/>
    <x:mergeCell ref="A22:R22"/>
  </x:mergeCells>
  <x:pageMargins left="0.7" right="0.7" top="0.75" bottom="0.75" header="0.3" footer="0.3"/>
  <x:drawing xmlns:r="http://schemas.openxmlformats.org/officeDocument/2006/relationships" r:id="R9c3d15d06ab541dc"/>
</x:worksheet>
</file>

<file path=xl/worksheets/sheet18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0.25" hidden="0" customWidth="1"/>
    <x:col min="2" max="2" width="10.25" hidden="0" customWidth="1"/>
    <x:col min="3" max="3" width="10.25" hidden="0" customWidth="1"/>
    <x:col min="4" max="4" width="10.25" hidden="0" customWidth="1"/>
    <x:col min="5" max="5" width="10.25" hidden="0" customWidth="1"/>
    <x:col min="6" max="6" width="10.25" hidden="0" customWidth="1"/>
    <x:col min="7" max="7" width="10.25" hidden="0" customWidth="1"/>
    <x:col min="8" max="8" width="10.25" hidden="0" customWidth="1"/>
    <x:col min="9" max="9" width="10.25" hidden="0" customWidth="1"/>
    <x:col min="10" max="10" width="10.25" hidden="0" customWidth="1"/>
    <x:col min="11" max="11" width="10.25" hidden="0" customWidth="1"/>
    <x:col min="12" max="12" width="10.25" hidden="0" customWidth="1"/>
    <x:col min="13" max="13" width="10.25" hidden="0" customWidth="1"/>
    <x:col min="14" max="14" width="10.25" hidden="0" customWidth="1"/>
    <x:col min="15" max="15" width="10.25" hidden="0" customWidth="1"/>
    <x:col min="16" max="16" width="10.25" hidden="0" customWidth="1"/>
    <x:col min="17" max="17" width="10.25" hidden="0" customWidth="1"/>
    <x:col min="18" max="18" width="10.25" hidden="0" customWidth="1"/>
  </x:cols>
  <x:sheetData>
    <x:row r="1" ht="28" customHeight="1">
      <x:c r="A1" s="2" t="str">
        <x:v>그림 17 매칭비율별 인구와 정주 계수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 ht="23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</x:row>
    <x:row r="3" ht="32" customHeight="1">
      <x:c r="A3" s="3" t="str">
        <x:v>수치 출처 DID_강건성_전체설정.csv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</x:row>
    <x:row r="5" ht="23" customHeight="1">
      <x:c r="A5" s="1" t="str">
        <x:v>주민등록인구(명)</x:v>
      </x:c>
      <x:c r="B5" s="1"/>
      <x:c r="C5" s="1"/>
      <x:c r="D5" s="1"/>
      <x:c r="E5" s="1"/>
      <x:c r="F5" s="1"/>
      <x:c r="G5" s="1" t="str">
        <x:v>청년비율(%p)</x:v>
      </x:c>
      <x:c r="H5" s="1"/>
      <x:c r="I5" s="1"/>
      <x:c r="J5" s="1"/>
      <x:c r="K5" s="1"/>
      <x:c r="L5" s="1"/>
      <x:c r="M5" s="1" t="str">
        <x:v>순이동자(명)</x:v>
      </x:c>
      <x:c r="N5" s="1"/>
      <x:c r="O5" s="1"/>
      <x:c r="P5" s="1"/>
      <x:c r="Q5" s="1"/>
      <x:c r="R5" s="1"/>
    </x:row>
    <x:row r="6" ht="64" customHeight="1">
      <x:c r="A6" s="6" t="str">
        <x:v>사례</x:v>
      </x:c>
      <x:c r="B6" s="6" t="str">
        <x:v>1:1</x:v>
      </x:c>
      <x:c r="C6" s="6" t="str">
        <x:v>1:2</x:v>
      </x:c>
      <x:c r="D6" s="6" t="str">
        <x:v>1:3</x:v>
      </x:c>
      <x:c r="E6" s="1"/>
      <x:c r="F6" s="1"/>
      <x:c r="G6" s="6" t="str">
        <x:v>사례</x:v>
      </x:c>
      <x:c r="H6" s="6" t="str">
        <x:v>1:1</x:v>
      </x:c>
      <x:c r="I6" s="6" t="str">
        <x:v>1:2</x:v>
      </x:c>
      <x:c r="J6" s="6" t="str">
        <x:v>1:3</x:v>
      </x:c>
      <x:c r="K6" s="1"/>
      <x:c r="L6" s="1"/>
      <x:c r="M6" s="6" t="str">
        <x:v>사례</x:v>
      </x:c>
      <x:c r="N6" s="6" t="str">
        <x:v>1:1</x:v>
      </x:c>
      <x:c r="O6" s="6" t="str">
        <x:v>1:2</x:v>
      </x:c>
      <x:c r="P6" s="6" t="str">
        <x:v>1:3</x:v>
      </x:c>
      <x:c r="Q6" s="1"/>
      <x:c r="R6" s="1"/>
    </x:row>
    <x:row r="7" ht="23" customHeight="1">
      <x:c r="A7" s="7" t="str">
        <x:v>문화비축기지</x:v>
      </x:c>
      <x:c r="B7" s="11" t="n">
        <x:v>2646.19999999999</x:v>
      </x:c>
      <x:c r="C7" s="11" t="n">
        <x:v>388.300000000003</x:v>
      </x:c>
      <x:c r="D7" s="11" t="n">
        <x:v>1273.73333333334</x:v>
      </x:c>
      <x:c r="E7" s="1"/>
      <x:c r="F7" s="1"/>
      <x:c r="G7" s="7" t="str">
        <x:v>문화비축기지</x:v>
      </x:c>
      <x:c r="H7" s="9" t="n">
        <x:v>6.52591584530563</x:v>
      </x:c>
      <x:c r="I7" s="9" t="n">
        <x:v>6.75243160287442</x:v>
      </x:c>
      <x:c r="J7" s="9" t="n">
        <x:v>6.56129426295591</x:v>
      </x:c>
      <x:c r="K7" s="1"/>
      <x:c r="L7" s="1"/>
      <x:c r="M7" s="7" t="str">
        <x:v>문화비축기지</x:v>
      </x:c>
      <x:c r="N7" s="11" t="n">
        <x:v>327.4</x:v>
      </x:c>
      <x:c r="O7" s="11" t="n">
        <x:v>39.7000000000005</x:v>
      </x:c>
      <x:c r="P7" s="11" t="n">
        <x:v>141.866666666667</x:v>
      </x:c>
      <x:c r="Q7" s="1"/>
      <x:c r="R7" s="1"/>
    </x:row>
    <x:row r="8" ht="23" customHeight="1">
      <x:c r="A8" s="7" t="str">
        <x:v>F1963</x:v>
      </x:c>
      <x:c r="B8" s="11" t="n">
        <x:v>442.999999999996</x:v>
      </x:c>
      <x:c r="C8" s="11" t="n">
        <x:v>-1758</x:v>
      </x:c>
      <x:c r="D8" s="11" t="n">
        <x:v>-1796.46666666666</x:v>
      </x:c>
      <x:c r="E8" s="1"/>
      <x:c r="F8" s="1"/>
      <x:c r="G8" s="7" t="str">
        <x:v>F1963</x:v>
      </x:c>
      <x:c r="H8" s="9" t="n">
        <x:v>0.571964610917923</x:v>
      </x:c>
      <x:c r="I8" s="9" t="n">
        <x:v>-1.58757983983644</x:v>
      </x:c>
      <x:c r="J8" s="9" t="n">
        <x:v>-1.75291179016295</x:v>
      </x:c>
      <x:c r="K8" s="1"/>
      <x:c r="L8" s="1"/>
      <x:c r="M8" s="7" t="str">
        <x:v>F1963</x:v>
      </x:c>
      <x:c r="N8" s="11" t="n">
        <x:v>-16.5999999999999</x:v>
      </x:c>
      <x:c r="O8" s="11" t="n">
        <x:v>-418.1</x:v>
      </x:c>
      <x:c r="P8" s="11" t="n">
        <x:v>-293.8</x:v>
      </x:c>
      <x:c r="Q8" s="1"/>
      <x:c r="R8" s="1"/>
    </x:row>
    <x:row r="9" ht="23" customHeight="1">
      <x:c r="A9" s="7" t="str">
        <x:v>고색뉴지엄</x:v>
      </x:c>
      <x:c r="B9" s="11" t="n">
        <x:v>7123.39999999999</x:v>
      </x:c>
      <x:c r="C9" s="11" t="n">
        <x:v>6365.7</x:v>
      </x:c>
      <x:c r="D9" s="11" t="n">
        <x:v>5527.13333333334</x:v>
      </x:c>
      <x:c r="E9" s="1"/>
      <x:c r="F9" s="1"/>
      <x:c r="G9" s="7" t="str">
        <x:v>고색뉴지엄</x:v>
      </x:c>
      <x:c r="H9" s="9" t="n">
        <x:v>1.52294772946521</x:v>
      </x:c>
      <x:c r="I9" s="9" t="n">
        <x:v>0.728430432357526</x:v>
      </x:c>
      <x:c r="J9" s="9" t="n">
        <x:v>0.942872527747522</x:v>
      </x:c>
      <x:c r="K9" s="1"/>
      <x:c r="L9" s="1"/>
      <x:c r="M9" s="7" t="str">
        <x:v>고색뉴지엄</x:v>
      </x:c>
      <x:c r="N9" s="11" t="n">
        <x:v>1127.6</x:v>
      </x:c>
      <x:c r="O9" s="11" t="n">
        <x:v>1101.8</x:v>
      </x:c>
      <x:c r="P9" s="11" t="n">
        <x:v>1034</x:v>
      </x:c>
      <x:c r="Q9" s="1"/>
      <x:c r="R9" s="1"/>
    </x:row>
    <x:row r="10" ht="23" customHeight="1">
      <x:c r="A10" s="7" t="str">
        <x:v>청주 미술관</x:v>
      </x:c>
      <x:c r="B10" s="11" t="n">
        <x:v>1202.6</x:v>
      </x:c>
      <x:c r="C10" s="11" t="n">
        <x:v>2245.30000000001</x:v>
      </x:c>
      <x:c r="D10" s="11" t="n">
        <x:v>2290.86666666667</x:v>
      </x:c>
      <x:c r="E10" s="1"/>
      <x:c r="F10" s="1"/>
      <x:c r="G10" s="7" t="str">
        <x:v>청주 미술관</x:v>
      </x:c>
      <x:c r="H10" s="9" t="n">
        <x:v>1.0111272361514</x:v>
      </x:c>
      <x:c r="I10" s="9" t="n">
        <x:v>-0.237801257949222</x:v>
      </x:c>
      <x:c r="J10" s="9" t="n">
        <x:v>0.554052323858221</x:v>
      </x:c>
      <x:c r="K10" s="1"/>
      <x:c r="L10" s="1"/>
      <x:c r="M10" s="7" t="str">
        <x:v>청주 미술관</x:v>
      </x:c>
      <x:c r="N10" s="11" t="n">
        <x:v>173.4</x:v>
      </x:c>
      <x:c r="O10" s="11" t="n">
        <x:v>208.1</x:v>
      </x:c>
      <x:c r="P10" s="11" t="n">
        <x:v>48.333333333333</x:v>
      </x:c>
      <x:c r="Q10" s="1"/>
      <x:c r="R10" s="1"/>
    </x:row>
    <x:row r="11" ht="23" customHeight="1">
      <x:c r="A11" s="7" t="str">
        <x:v>팔복예술공장</x:v>
      </x:c>
      <x:c r="B11" s="11" t="n">
        <x:v>-565.399999999998</x:v>
      </x:c>
      <x:c r="C11" s="11" t="n">
        <x:v>-1157.5</x:v>
      </x:c>
      <x:c r="D11" s="11" t="n">
        <x:v>-1366.46666666668</x:v>
      </x:c>
      <x:c r="E11" s="1"/>
      <x:c r="F11" s="1"/>
      <x:c r="G11" s="7" t="str">
        <x:v>팔복예술공장</x:v>
      </x:c>
      <x:c r="H11" s="9" t="n">
        <x:v>-1.31296975359672</x:v>
      </x:c>
      <x:c r="I11" s="9" t="n">
        <x:v>-1.0039418682303</x:v>
      </x:c>
      <x:c r="J11" s="9" t="n">
        <x:v>-0.378744819767915</x:v>
      </x:c>
      <x:c r="K11" s="1"/>
      <x:c r="L11" s="1"/>
      <x:c r="M11" s="7" t="str">
        <x:v>팔복예술공장</x:v>
      </x:c>
      <x:c r="N11" s="11" t="n">
        <x:v>485</x:v>
      </x:c>
      <x:c r="O11" s="11" t="n">
        <x:v>553.8</x:v>
      </x:c>
      <x:c r="P11" s="11" t="n">
        <x:v>431.6</x:v>
      </x:c>
      <x:c r="Q11" s="1"/>
      <x:c r="R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</x:row>
    <x:row r="14" ht="2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</x:row>
    <x:row r="15" ht="32" customHeight="1">
      <x:c r="A15" s="3" t="str">
        <x:v>같은 M2 모형과 후보 제외 기준을 사용한 매칭비율별 계수입니다.</x:v>
      </x:c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</x:row>
    <x:row r="49" ht="2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</x:row>
    <x:row r="51" ht="2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</x:row>
    <x:row r="56" ht="2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</x:row>
    <x:row r="57" ht="2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</x:row>
    <x:row r="58" ht="2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</x:row>
    <x:row r="59" ht="2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</x:row>
    <x:row r="60" ht="2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</x:row>
    <x:row r="61" ht="2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</x:row>
    <x:row r="62" ht="2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</x:row>
    <x:row r="63" ht="2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</x:row>
    <x:row r="64" ht="2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</x:row>
    <x:row r="65" ht="2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</x:row>
    <x:row r="66" ht="2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</x:row>
    <x:row r="67" ht="23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</x:row>
    <x:row r="68" ht="23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</x:row>
  </x:sheetData>
  <x:mergeCells>
    <x:mergeCell ref="A3:R3"/>
    <x:mergeCell ref="A15:R15"/>
  </x:mergeCells>
  <x:pageMargins left="0.7" right="0.7" top="0.75" bottom="0.75" header="0.3" footer="0.3"/>
  <x:drawing xmlns:r="http://schemas.openxmlformats.org/officeDocument/2006/relationships" r:id="Rf91ed1ecbcea4946"/>
</x:worksheet>
</file>

<file path=xl/worksheets/sheet19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0.25" hidden="0" customWidth="1"/>
    <x:col min="2" max="2" width="10.25" hidden="0" customWidth="1"/>
    <x:col min="3" max="3" width="10.25" hidden="0" customWidth="1"/>
    <x:col min="4" max="4" width="10.25" hidden="0" customWidth="1"/>
    <x:col min="5" max="5" width="10.25" hidden="0" customWidth="1"/>
    <x:col min="6" max="6" width="10.25" hidden="0" customWidth="1"/>
    <x:col min="7" max="7" width="10.25" hidden="0" customWidth="1"/>
    <x:col min="8" max="8" width="10.25" hidden="0" customWidth="1"/>
    <x:col min="9" max="9" width="10.25" hidden="0" customWidth="1"/>
    <x:col min="10" max="10" width="10.25" hidden="0" customWidth="1"/>
    <x:col min="11" max="11" width="10.25" hidden="0" customWidth="1"/>
    <x:col min="12" max="12" width="10.25" hidden="0" customWidth="1"/>
    <x:col min="13" max="13" width="10.25" hidden="0" customWidth="1"/>
    <x:col min="14" max="14" width="10.25" hidden="0" customWidth="1"/>
    <x:col min="15" max="15" width="10.25" hidden="0" customWidth="1"/>
    <x:col min="16" max="16" width="10.25" hidden="0" customWidth="1"/>
    <x:col min="17" max="17" width="10.25" hidden="0" customWidth="1"/>
    <x:col min="18" max="18" width="10.25" hidden="0" customWidth="1"/>
  </x:cols>
  <x:sheetData>
    <x:row r="1" ht="28" customHeight="1">
      <x:c r="A1" s="2" t="str">
        <x:v>그림 18 분석기간과 사전 추세에 따른 계수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 ht="23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</x:row>
    <x:row r="3" ht="32" customHeight="1">
      <x:c r="A3" s="3" t="str">
        <x:v>수치 출처 DID_강건성_전체설정.csv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</x:row>
    <x:row r="5" ht="23" customHeight="1">
      <x:c r="A5" s="1" t="str">
        <x:v>주민등록인구(명)</x:v>
      </x:c>
      <x:c r="B5" s="1"/>
      <x:c r="C5" s="1"/>
      <x:c r="D5" s="1"/>
      <x:c r="E5" s="1"/>
      <x:c r="F5" s="1"/>
      <x:c r="G5" s="1" t="str">
        <x:v>청년비율(%p)</x:v>
      </x:c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</x:row>
    <x:row r="6" ht="64" customHeight="1">
      <x:c r="A6" s="6" t="str">
        <x:v>사례</x:v>
      </x:c>
      <x:c r="B6" s="6" t="str">
        <x:v>기본</x:v>
      </x:c>
      <x:c r="C6" s="6" t="str">
        <x:v>2020~21 제외</x:v>
      </x:c>
      <x:c r="D6" s="6" t="str">
        <x:v>사후 2019년까지</x:v>
      </x:c>
      <x:c r="E6" s="6" t="str">
        <x:v>사전 추세 연장</x:v>
      </x:c>
      <x:c r="F6" s="1"/>
      <x:c r="G6" s="6" t="str">
        <x:v>사례</x:v>
      </x:c>
      <x:c r="H6" s="6" t="str">
        <x:v>기본</x:v>
      </x:c>
      <x:c r="I6" s="6" t="str">
        <x:v>2020~21 제외</x:v>
      </x:c>
      <x:c r="J6" s="6" t="str">
        <x:v>사후 2019년까지</x:v>
      </x:c>
      <x:c r="K6" s="6" t="str">
        <x:v>사전 추세 연장</x:v>
      </x:c>
      <x:c r="L6" s="1"/>
      <x:c r="M6" s="1"/>
      <x:c r="N6" s="1"/>
      <x:c r="O6" s="1"/>
      <x:c r="P6" s="1"/>
      <x:c r="Q6" s="1"/>
      <x:c r="R6" s="1"/>
    </x:row>
    <x:row r="7" ht="23" customHeight="1">
      <x:c r="A7" s="7" t="str">
        <x:v>문화비축기지</x:v>
      </x:c>
      <x:c r="B7" s="11" t="n">
        <x:v>1273.73333333334</x:v>
      </x:c>
      <x:c r="C7" s="11" t="n">
        <x:v>1286.95555555555</x:v>
      </x:c>
      <x:c r="D7" s="11" t="n">
        <x:v>1201.9</x:v>
      </x:c>
      <x:c r="E7" s="11" t="n">
        <x:v>102.133333333218</x:v>
      </x:c>
      <x:c r="F7" s="1"/>
      <x:c r="G7" s="7" t="str">
        <x:v>문화비축기지</x:v>
      </x:c>
      <x:c r="H7" s="9" t="n">
        <x:v>6.56129426295591</x:v>
      </x:c>
      <x:c r="I7" s="9" t="n">
        <x:v>6.40732688631514</x:v>
      </x:c>
      <x:c r="J7" s="9" t="n">
        <x:v>5.44146908909955</x:v>
      </x:c>
      <x:c r="K7" s="9" t="n">
        <x:v>3.38594931711465</x:v>
      </x:c>
      <x:c r="L7" s="1"/>
      <x:c r="M7" s="1"/>
      <x:c r="N7" s="1"/>
      <x:c r="O7" s="1"/>
      <x:c r="P7" s="1"/>
      <x:c r="Q7" s="1"/>
      <x:c r="R7" s="1"/>
    </x:row>
    <x:row r="8" ht="23" customHeight="1">
      <x:c r="A8" s="7" t="str">
        <x:v>F1963</x:v>
      </x:c>
      <x:c r="B8" s="11" t="n">
        <x:v>-1796.46666666666</x:v>
      </x:c>
      <x:c r="C8" s="11" t="n">
        <x:v>-1882.17777777778</x:v>
      </x:c>
      <x:c r="D8" s="11" t="n">
        <x:v>-1345.56666666667</x:v>
      </x:c>
      <x:c r="E8" s="11" t="n">
        <x:v>-632.266666666493</x:v>
      </x:c>
      <x:c r="F8" s="1"/>
      <x:c r="G8" s="7" t="str">
        <x:v>F1963</x:v>
      </x:c>
      <x:c r="H8" s="9" t="n">
        <x:v>-1.75291179016295</x:v>
      </x:c>
      <x:c r="I8" s="9" t="n">
        <x:v>-1.52925324559827</x:v>
      </x:c>
      <x:c r="J8" s="9" t="n">
        <x:v>-0.89132760733217</x:v>
      </x:c>
      <x:c r="K8" s="9" t="n">
        <x:v>-1.08199206466754</x:v>
      </x:c>
      <x:c r="L8" s="1"/>
      <x:c r="M8" s="1"/>
      <x:c r="N8" s="1"/>
      <x:c r="O8" s="1"/>
      <x:c r="P8" s="1"/>
      <x:c r="Q8" s="1"/>
      <x:c r="R8" s="1"/>
    </x:row>
    <x:row r="9" ht="23" customHeight="1">
      <x:c r="A9" s="7" t="str">
        <x:v>고색뉴지엄</x:v>
      </x:c>
      <x:c r="B9" s="11" t="n">
        <x:v>5527.13333333334</x:v>
      </x:c>
      <x:c r="C9" s="11" t="n">
        <x:v>5590.93333333335</x:v>
      </x:c>
      <x:c r="D9" s="11" t="n">
        <x:v>5803.7666666667</x:v>
      </x:c>
      <x:c r="E9" s="11" t="n">
        <x:v>6477.13333333333</x:v>
      </x:c>
      <x:c r="F9" s="1"/>
      <x:c r="G9" s="7" t="str">
        <x:v>고색뉴지엄</x:v>
      </x:c>
      <x:c r="H9" s="9" t="n">
        <x:v>0.942872527747522</x:v>
      </x:c>
      <x:c r="I9" s="9" t="n">
        <x:v>1.02119213597595</x:v>
      </x:c>
      <x:c r="J9" s="9" t="n">
        <x:v>1.56178937623863</x:v>
      </x:c>
      <x:c r="K9" s="9" t="n">
        <x:v>-0.745040793004315</x:v>
      </x:c>
      <x:c r="L9" s="1"/>
      <x:c r="M9" s="1"/>
      <x:c r="N9" s="1"/>
      <x:c r="O9" s="1"/>
      <x:c r="P9" s="1"/>
      <x:c r="Q9" s="1"/>
      <x:c r="R9" s="1"/>
    </x:row>
    <x:row r="10" ht="23" customHeight="1">
      <x:c r="A10" s="7" t="str">
        <x:v>청주 미술관</x:v>
      </x:c>
      <x:c r="B10" s="11" t="n">
        <x:v>2290.86666666667</x:v>
      </x:c>
      <x:c r="C10" s="11" t="n">
        <x:v>1907.95555555555</x:v>
      </x:c>
      <x:c r="D10" s="11" t="n">
        <x:v>994.73333333333</x:v>
      </x:c>
      <x:c r="E10" s="11" t="n">
        <x:v>-74.3333333333962</x:v>
      </x:c>
      <x:c r="F10" s="1"/>
      <x:c r="G10" s="7" t="str">
        <x:v>청주 미술관</x:v>
      </x:c>
      <x:c r="H10" s="9" t="n">
        <x:v>0.554052323858221</x:v>
      </x:c>
      <x:c r="I10" s="9" t="n">
        <x:v>0.022056851242236</x:v>
      </x:c>
      <x:c r="J10" s="9" t="n">
        <x:v>-0.274344186493568</x:v>
      </x:c>
      <x:c r="K10" s="9" t="n">
        <x:v>1.54218524436751</x:v>
      </x:c>
      <x:c r="L10" s="1"/>
      <x:c r="M10" s="1"/>
      <x:c r="N10" s="1"/>
      <x:c r="O10" s="1"/>
      <x:c r="P10" s="1"/>
      <x:c r="Q10" s="1"/>
      <x:c r="R10" s="1"/>
    </x:row>
    <x:row r="11" ht="23" customHeight="1">
      <x:c r="A11" s="7" t="str">
        <x:v>팔복예술공장</x:v>
      </x:c>
      <x:c r="B11" s="11" t="n">
        <x:v>-1366.46666666668</x:v>
      </x:c>
      <x:c r="C11" s="11" t="n">
        <x:v>-1124.06666666667</x:v>
      </x:c>
      <x:c r="D11" s="11" t="n">
        <x:v>-1673.73333333333</x:v>
      </x:c>
      <x:c r="E11" s="11" t="n">
        <x:v>139.133333333354</x:v>
      </x:c>
      <x:c r="F11" s="1"/>
      <x:c r="G11" s="7" t="str">
        <x:v>팔복예술공장</x:v>
      </x:c>
      <x:c r="H11" s="9" t="n">
        <x:v>-0.378744819767915</x:v>
      </x:c>
      <x:c r="I11" s="9" t="n">
        <x:v>0.749695027682067</x:v>
      </x:c>
      <x:c r="J11" s="9" t="n">
        <x:v>-2.41944273677668</x:v>
      </x:c>
      <x:c r="K11" s="9" t="n">
        <x:v>3.59252138587808</x:v>
      </x:c>
      <x:c r="L11" s="1"/>
      <x:c r="M11" s="1"/>
      <x:c r="N11" s="1"/>
      <x:c r="O11" s="1"/>
      <x:c r="P11" s="1"/>
      <x:c r="Q11" s="1"/>
      <x:c r="R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</x:row>
    <x:row r="14" ht="2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</x:row>
    <x:row r="15" ht="32" customHeight="1">
      <x:c r="A15" s="3" t="str">
        <x:v>각 열은 같은 M2 1:3 조합의 설정별 계수입니다. 사전 추세 연장은 가정에 따른 비교량이며 신뢰구간이 아닙니다.</x:v>
      </x:c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</x:row>
    <x:row r="49" ht="2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</x:row>
    <x:row r="51" ht="2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</x:row>
    <x:row r="56" ht="2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</x:row>
    <x:row r="57" ht="2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</x:row>
    <x:row r="58" ht="2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</x:row>
    <x:row r="59" ht="2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</x:row>
    <x:row r="60" ht="2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</x:row>
    <x:row r="61" ht="2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</x:row>
    <x:row r="62" ht="2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</x:row>
    <x:row r="63" ht="2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</x:row>
    <x:row r="64" ht="2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</x:row>
    <x:row r="65" ht="2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</x:row>
    <x:row r="66" ht="2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</x:row>
    <x:row r="67" ht="23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</x:row>
    <x:row r="68" ht="23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</x:row>
  </x:sheetData>
  <x:mergeCells>
    <x:mergeCell ref="A3:R3"/>
    <x:mergeCell ref="A15:R15"/>
  </x:mergeCells>
  <x:pageMargins left="0.7" right="0.7" top="0.75" bottom="0.75" header="0.3" footer="0.3"/>
  <x:drawing xmlns:r="http://schemas.openxmlformats.org/officeDocument/2006/relationships" r:id="Rbe656d8f16a64bf0"/>
</x:worksheet>
</file>

<file path=xl/worksheets/sheet20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41.25" hidden="0" customWidth="1"/>
    <x:col min="2" max="2" width="58.75" hidden="0" customWidth="1"/>
    <x:col min="3" max="3" width="10.25" hidden="0" customWidth="1"/>
    <x:col min="4" max="4" width="10.25" hidden="0" customWidth="1"/>
    <x:col min="5" max="5" width="10.25" hidden="0" customWidth="1"/>
    <x:col min="6" max="6" width="10.25" hidden="0" customWidth="1"/>
    <x:col min="7" max="7" width="10.25" hidden="0" customWidth="1"/>
    <x:col min="8" max="8" width="10.25" hidden="0" customWidth="1"/>
    <x:col min="9" max="9" width="10.25" hidden="0" customWidth="1"/>
    <x:col min="10" max="10" width="10.25" hidden="0" customWidth="1"/>
    <x:col min="11" max="11" width="10.25" hidden="0" customWidth="1"/>
    <x:col min="12" max="12" width="10.25" hidden="0" customWidth="1"/>
    <x:col min="13" max="13" width="10.25" hidden="0" customWidth="1"/>
    <x:col min="14" max="14" width="10.25" hidden="0" customWidth="1"/>
    <x:col min="15" max="15" width="10.25" hidden="0" customWidth="1"/>
    <x:col min="16" max="16" width="10.25" hidden="0" customWidth="1"/>
    <x:col min="17" max="17" width="10.25" hidden="0" customWidth="1"/>
    <x:col min="18" max="18" width="10.25" hidden="0" customWidth="1"/>
  </x:cols>
  <x:sheetData>
    <x:row r="1" ht="28" customHeight="1">
      <x:c r="A1" s="2" t="str">
        <x:v>그림 19 분석 실행기록과 검산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 ht="23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</x:row>
    <x:row r="3" ht="32" customHeight="1">
      <x:c r="A3" s="3" t="str">
        <x:v>논문 그림 19는 수치 그래프가 아니라 실제 R 실행기록입니다.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</x:row>
    <x:row r="5" ht="23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</x:row>
    <x:row r="6" ht="64" customHeight="1">
      <x:c r="A6" s="6" t="str">
        <x:v>항목</x:v>
      </x:c>
      <x:c r="B6" s="6" t="str">
        <x:v>값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</x:row>
    <x:row r="7" ht="23" customHeight="1">
      <x:c r="A7" s="7" t="str">
        <x:v>실행 프로그램</x:v>
      </x:c>
      <x:c r="B7" s="7" t="str">
        <x:v>R 4.6.1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</x:row>
    <x:row r="8" ht="23" customHeight="1">
      <x:c r="A8" s="7" t="str">
        <x:v>기본 결과 수</x:v>
      </x:c>
      <x:c r="B8" s="7" t="n">
        <x:v>50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</x:row>
    <x:row r="9" ht="23" customHeight="1">
      <x:c r="A9" s="7" t="str">
        <x:v>전체 결과 설정 수</x:v>
      </x:c>
      <x:c r="B9" s="7" t="n">
        <x:v>1164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</x:row>
    <x:row r="10" ht="23" customHeight="1">
      <x:c r="A10" s="7" t="str">
        <x:v>사전 가짜시점 회귀 수</x:v>
      </x:c>
      <x:c r="B10" s="7" t="n">
        <x:v>50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</x:row>
    <x:row r="11" ht="23" customHeight="1">
      <x:c r="A11" s="7" t="str">
        <x:v>R과 Python 계수의 최대 차이</x:v>
      </x:c>
      <x:c r="B11" s="13" t="n">
        <x:v>1.4779288903810084e-10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</x:row>
    <x:row r="12" ht="23" customHeight="1">
      <x:c r="A12" s="7" t="str">
        <x:v>원자료 재분석</x:v>
      </x:c>
      <x:c r="B12" s="7" t="str">
        <x:v>이번 엑셀 작성에서 실행하지 않음</x:v>
      </x:c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</x:row>
    <x:row r="14" ht="2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</x:row>
    <x:row r="15" ht="32" customHeight="1">
      <x:c r="A15" s="3" t="str">
        <x:v>회귀식 Y_it = 지역 고정효과 + 연도 고정효과 + beta × 처치지역 × 개관 이후 + 오차</x:v>
      </x:c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</x:row>
    <x:row r="17" ht="32" customHeight="1">
      <x:c r="A17" s="3" t="str">
        <x:v>R version 4.6.1 (2026-06-24 ucrt) </x:v>
      </x:c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</x:row>
    <x:row r="18" ht="32" customHeight="1">
      <x:c r="A18" s="3" t="str">
        <x:v>Model: y ~ factor(unit) + factor(year) + treated*post interaction only</x:v>
      </x:c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</x:row>
    <x:row r="19" ht="32" customHeight="1">
      <x:c r="A19" s="3" t="str">
        <x:v>Five-case operational scope; NO causal p-values/CI asserted.</x:v>
      </x:c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</x:row>
    <x:row r="20" ht="32" customHeight="1">
      <x:c r="A20" s="3" t="str">
        <x:v>Executed FE regressions: 1164 </x:v>
      </x:c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</x:row>
    <x:row r="21" ht="32" customHeight="1">
      <x:c r="A21" s="3" t="str">
        <x:v>Primary: 50 </x:v>
      </x:c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</x:row>
    <x:row r="22" ht="32" customHeight="1">
      <x:c r="A22" s="3" t="str">
        <x:v>Excluded: 21 </x:v>
      </x:c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</x:row>
    <x:row r="23" ht="32" customHeight="1">
      <x:c r="A23" s="3" t="str">
        <x:v>Largest arithmetic discrepancy: 3.001333e-11 </x:v>
      </x:c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</x:row>
    <x:row r="24" ht="32" customHeight="1">
      <x:c r="A24" s="3" t="str">
        <x:v>                site            metric      estimate n_pre_years n_post_years</x:v>
      </x:c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"/>
    </x:row>
    <x:row r="25" ht="32" customHeight="1">
      <x:c r="A25" s="3" t="str">
        <x:v>        문화비축기지        population  1273.7333333           5            5</x:v>
      </x:c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</x:row>
    <x:row r="26" ht="32" customHeight="1">
      <x:c r="A26" s="3" t="str">
        <x:v>        문화비축기지 youth_ratio_19_34     6.5612943           5            5</x:v>
      </x:c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</x:row>
    <x:row r="27" ht="32" customHeight="1">
      <x:c r="A27" s="3" t="str">
        <x:v>        문화비축기지     net_migration   141.8666667           5            5</x:v>
      </x:c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</x:row>
    <x:row r="28" ht="32" customHeight="1">
      <x:c r="A28" s="3" t="str">
        <x:v>        문화비축기지    businesses_ALL   472.9000000           5            2</x:v>
      </x:c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</x:row>
    <x:row r="29" ht="32" customHeight="1">
      <x:c r="A29" s="3" t="str">
        <x:v>        문화비축기지      businesses_G   -25.6666667           5            2</x:v>
      </x:c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</x:row>
    <x:row r="30" ht="32" customHeight="1">
      <x:c r="A30" s="3" t="str">
        <x:v>        문화비축기지      businesses_I    32.7000000           5            2</x:v>
      </x:c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</x:row>
    <x:row r="31" ht="32" customHeight="1">
      <x:c r="A31" s="14" t="str">
        <x:v>        문화비축기지       workers_ALL  2100.0666667           5            2</x:v>
      </x:c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</x:row>
    <x:row r="32" ht="32" customHeight="1">
      <x:c r="A32" s="14" t="str">
        <x:v>        문화비축기지         workers_G    86.2333333           5            2</x:v>
      </x:c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</x:row>
    <x:row r="33" ht="32" customHeight="1">
      <x:c r="A33" s="14" t="str">
        <x:v>        문화비축기지         workers_I    25.4666667           5            2</x:v>
      </x:c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</x:row>
    <x:row r="34" ht="32" customHeight="1">
      <x:c r="A34" s="14" t="str">
        <x:v>        문화비축기지         workers_R    -8.0000000           5            2</x:v>
      </x:c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</x:row>
    <x:row r="35" ht="32" customHeight="1">
      <x:c r="A35" s="14" t="str">
        <x:v>               F1963        population -1796.4666667           5            5</x:v>
      </x:c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</x:row>
    <x:row r="36" ht="32" customHeight="1">
      <x:c r="A36" s="14" t="str">
        <x:v>               F1963 youth_ratio_19_34    -1.7529118           5            5</x:v>
      </x:c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</x:row>
    <x:row r="37" ht="32" customHeight="1">
      <x:c r="A37" s="14" t="str">
        <x:v>               F1963     net_migration  -293.8000000           5            5</x:v>
      </x:c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</x:row>
    <x:row r="38" ht="32" customHeight="1">
      <x:c r="A38" s="14" t="str">
        <x:v>               F1963    businesses_ALL     1.2000000           5            2</x:v>
      </x:c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</x:row>
    <x:row r="39" ht="32" customHeight="1">
      <x:c r="A39" s="14" t="str">
        <x:v>               F1963      businesses_G    10.9333333           5            2</x:v>
      </x:c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</x:row>
    <x:row r="40" ht="32" customHeight="1">
      <x:c r="A40" s="14" t="str">
        <x:v>               F1963      businesses_I   -14.6333333           5            2</x:v>
      </x:c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</x:row>
    <x:row r="41" ht="32" customHeight="1">
      <x:c r="A41" s="14" t="str">
        <x:v>               F1963       workers_ALL   170.8000000           5            2</x:v>
      </x:c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</x:row>
    <x:row r="42" ht="32" customHeight="1">
      <x:c r="A42" s="14" t="str">
        <x:v>               F1963         workers_G    52.7000000           5            2</x:v>
      </x:c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</x:row>
    <x:row r="43" ht="32" customHeight="1">
      <x:c r="A43" s="14" t="str">
        <x:v>               F1963         workers_I   -76.1000000           5            2</x:v>
      </x:c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</x:row>
    <x:row r="44" ht="32" customHeight="1">
      <x:c r="A44" s="14" t="str">
        <x:v>               F1963         workers_R   -19.9666667           5            2</x:v>
      </x:c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</x:row>
    <x:row r="45" ht="32" customHeight="1">
      <x:c r="A45" s="14" t="str">
        <x:v>          고색뉴지엄        population  5527.1333333           5            5</x:v>
      </x:c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</x:row>
    <x:row r="46" ht="32" customHeight="1">
      <x:c r="A46" s="14" t="str">
        <x:v>          고색뉴지엄 youth_ratio_19_34     0.9428725           5            5</x:v>
      </x:c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</x:row>
    <x:row r="47" ht="32" customHeight="1">
      <x:c r="A47" s="14" t="str">
        <x:v>          고색뉴지엄     net_migration  1034.0000000           5            5</x:v>
      </x:c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</x:row>
    <x:row r="48" ht="32" customHeight="1">
      <x:c r="A48" s="14" t="str">
        <x:v>          고색뉴지엄    businesses_ALL   206.3000000           5            2</x:v>
      </x:c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</x:row>
    <x:row r="49" ht="32" customHeight="1">
      <x:c r="A49" s="14" t="str">
        <x:v>          고색뉴지엄      businesses_G    45.6333333           5            2</x:v>
      </x:c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</x:row>
    <x:row r="50" ht="32" customHeight="1">
      <x:c r="A50" s="14" t="str">
        <x:v>          고색뉴지엄      businesses_I    -3.3333333           5            2</x:v>
      </x:c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</x:row>
    <x:row r="51" ht="32" customHeight="1">
      <x:c r="A51" s="14" t="str">
        <x:v>          고색뉴지엄       workers_ALL  8113.1666667           5            2</x:v>
      </x:c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  <x:c r="R51" s="14"/>
    </x:row>
    <x:row r="52" ht="32" customHeight="1">
      <x:c r="A52" s="14" t="str">
        <x:v>          고색뉴지엄         workers_G  1102.3000000           5            2</x:v>
      </x:c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  <x:c r="R52" s="14"/>
    </x:row>
    <x:row r="53" ht="32" customHeight="1">
      <x:c r="A53" s="14" t="str">
        <x:v>          고색뉴지엄         workers_I   109.2333333           5            2</x:v>
      </x:c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/>
      <x:c r="R53" s="14"/>
    </x:row>
    <x:row r="54" ht="32" customHeight="1">
      <x:c r="A54" s="14" t="str">
        <x:v>          고색뉴지엄         workers_R   -17.4333333           5            2</x:v>
      </x:c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  <x:c r="Q54" s="14"/>
      <x:c r="R54" s="14"/>
    </x:row>
    <x:row r="55" ht="32" customHeight="1">
      <x:c r="A55" s="14" t="str">
        <x:v> 국립현대미술관 청주        population  2290.8666667           5            5</x:v>
      </x:c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  <x:c r="R55" s="14"/>
    </x:row>
    <x:row r="56" ht="32" customHeight="1">
      <x:c r="A56" s="14" t="str">
        <x:v> 국립현대미술관 청주 youth_ratio_19_34     0.5540523           5            5</x:v>
      </x:c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  <x:c r="R56" s="14"/>
    </x:row>
    <x:row r="57" ht="32" customHeight="1">
      <x:c r="A57" s="14" t="str">
        <x:v> 국립현대미술관 청주     net_migration    48.3333333           5            5</x:v>
      </x:c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  <x:c r="R57" s="14"/>
    </x:row>
    <x:row r="58" ht="32" customHeight="1">
      <x:c r="A58" s="14" t="str">
        <x:v> 국립현대미술관 청주    businesses_ALL    12.5333333           5            1</x:v>
      </x:c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  <x:c r="R58" s="14"/>
    </x:row>
    <x:row r="59" ht="32" customHeight="1">
      <x:c r="A59" s="14" t="str">
        <x:v> 국립현대미술관 청주      businesses_G    -7.3333333           5            1</x:v>
      </x:c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/>
      <x:c r="R59" s="14"/>
    </x:row>
    <x:row r="60" ht="32" customHeight="1">
      <x:c r="A60" s="14" t="str">
        <x:v> 국립현대미술관 청주      businesses_I   -18.4000000           5            1</x:v>
      </x:c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4"/>
      <x:c r="R60" s="14"/>
    </x:row>
    <x:row r="61" ht="32" customHeight="1">
      <x:c r="A61" s="14" t="str">
        <x:v> 국립현대미술관 청주       workers_ALL   598.6666667           5            1</x:v>
      </x:c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4"/>
      <x:c r="P61" s="14"/>
      <x:c r="Q61" s="14"/>
      <x:c r="R61" s="14"/>
    </x:row>
    <x:row r="62" ht="32" customHeight="1">
      <x:c r="A62" s="14" t="str">
        <x:v> 국립현대미술관 청주         workers_G    17.6666667           5            1</x:v>
      </x:c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  <x:c r="P62" s="14"/>
      <x:c r="Q62" s="14"/>
      <x:c r="R62" s="14"/>
    </x:row>
    <x:row r="63" ht="32" customHeight="1">
      <x:c r="A63" s="14" t="str">
        <x:v> 국립현대미술관 청주         workers_I   -56.9333333           5            1</x:v>
      </x:c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  <x:c r="Q63" s="14"/>
      <x:c r="R63" s="14"/>
    </x:row>
    <x:row r="64" ht="32" customHeight="1">
      <x:c r="A64" s="14" t="str">
        <x:v> 국립현대미술관 청주         workers_R   108.9333333           5            1</x:v>
      </x:c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4"/>
      <x:c r="P64" s="14"/>
      <x:c r="Q64" s="14"/>
      <x:c r="R64" s="14"/>
    </x:row>
    <x:row r="65" ht="32" customHeight="1">
      <x:c r="A65" s="14" t="str">
        <x:v>        팔복예술공장        population -1366.4666667           5            5</x:v>
      </x:c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  <x:c r="P65" s="14"/>
      <x:c r="Q65" s="14"/>
      <x:c r="R65" s="14"/>
    </x:row>
    <x:row r="66" ht="32" customHeight="1">
      <x:c r="A66" s="14" t="str">
        <x:v>        팔복예술공장 youth_ratio_19_34    -0.3787448           5            5</x:v>
      </x:c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  <x:c r="P66" s="14"/>
      <x:c r="Q66" s="14"/>
      <x:c r="R66" s="14"/>
    </x:row>
    <x:row r="67" ht="32" customHeight="1">
      <x:c r="A67" s="14" t="str">
        <x:v>        팔복예술공장     net_migration   431.6000000           5            5</x:v>
      </x:c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  <x:c r="Q67" s="14"/>
      <x:c r="R67" s="14"/>
    </x:row>
    <x:row r="68" ht="32" customHeight="1">
      <x:c r="A68" s="14" t="str">
        <x:v>        팔복예술공장    businesses_ALL  -273.6666667           5            1</x:v>
      </x:c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  <x:c r="P68" s="14"/>
      <x:c r="Q68" s="14"/>
      <x:c r="R68" s="14"/>
    </x:row>
    <x:row r="69" ht="32" customHeight="1">
      <x:c r="A69" s="14" t="str">
        <x:v>        팔복예술공장      businesses_G    -9.6666667           5            1</x:v>
      </x:c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  <x:c r="N69" s="14"/>
      <x:c r="O69" s="14"/>
      <x:c r="P69" s="14"/>
      <x:c r="Q69" s="14"/>
      <x:c r="R69" s="14"/>
    </x:row>
    <x:row r="70" ht="32" customHeight="1">
      <x:c r="A70" s="14" t="str">
        <x:v>        팔복예술공장      businesses_I   -27.9333333           5            1</x:v>
      </x:c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  <x:c r="N70" s="14"/>
      <x:c r="O70" s="14"/>
      <x:c r="P70" s="14"/>
      <x:c r="Q70" s="14"/>
      <x:c r="R70" s="14"/>
    </x:row>
    <x:row r="71" ht="32" customHeight="1">
      <x:c r="A71" s="14" t="str">
        <x:v>        팔복예술공장       workers_ALL  -507.2666667           5            1</x:v>
      </x:c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4"/>
      <x:c r="P71" s="14"/>
      <x:c r="Q71" s="14"/>
      <x:c r="R71" s="14"/>
    </x:row>
    <x:row r="72" ht="32" customHeight="1">
      <x:c r="A72" s="14" t="str">
        <x:v>        팔복예술공장         workers_G   -25.2000000           5            1</x:v>
      </x:c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  <x:c r="O72" s="14"/>
      <x:c r="P72" s="14"/>
      <x:c r="Q72" s="14"/>
      <x:c r="R72" s="14"/>
    </x:row>
    <x:row r="73" ht="32" customHeight="1">
      <x:c r="A73" s="14" t="str">
        <x:v>        팔복예술공장         workers_I  -112.1333333           5            1</x:v>
      </x:c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  <x:c r="M73" s="14"/>
      <x:c r="N73" s="14"/>
      <x:c r="O73" s="14"/>
      <x:c r="P73" s="14"/>
      <x:c r="Q73" s="14"/>
      <x:c r="R73" s="14"/>
    </x:row>
    <x:row r="74" ht="32" customHeight="1">
      <x:c r="A74" s="14" t="str">
        <x:v>        팔복예술공장         workers_R   -14.1333333           5            1</x:v>
      </x:c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  <x:c r="M74" s="14"/>
      <x:c r="N74" s="14"/>
      <x:c r="O74" s="14"/>
      <x:c r="P74" s="14"/>
      <x:c r="Q74" s="14"/>
      <x:c r="R74" s="14"/>
    </x:row>
    <x:row r="75" ht="32" customHeight="1">
      <x:c r="A75" s="14" t="str">
        <x:v>Pre-period placebo FE fits: 50 </x:v>
      </x:c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  <x:c r="M75" s="14"/>
      <x:c r="N75" s="14"/>
      <x:c r="O75" s="14"/>
      <x:c r="P75" s="14"/>
      <x:c r="Q75" s="14"/>
      <x:c r="R75" s="14"/>
    </x:row>
  </x:sheetData>
  <x:mergeCells>
    <x:mergeCell ref="A3:R3"/>
    <x:mergeCell ref="A15:R15"/>
    <x:mergeCell ref="A17:R17"/>
    <x:mergeCell ref="A18:R18"/>
    <x:mergeCell ref="A19:R19"/>
    <x:mergeCell ref="A20:R20"/>
    <x:mergeCell ref="A21:R21"/>
    <x:mergeCell ref="A22:R22"/>
    <x:mergeCell ref="A23:R23"/>
    <x:mergeCell ref="A24:R24"/>
    <x:mergeCell ref="A25:R25"/>
    <x:mergeCell ref="A26:R26"/>
    <x:mergeCell ref="A27:R27"/>
    <x:mergeCell ref="A28:R28"/>
    <x:mergeCell ref="A29:R29"/>
    <x:mergeCell ref="A30:R30"/>
    <x:mergeCell ref="A31:R31"/>
    <x:mergeCell ref="A32:R32"/>
    <x:mergeCell ref="A33:R33"/>
    <x:mergeCell ref="A34:R34"/>
    <x:mergeCell ref="A35:R35"/>
    <x:mergeCell ref="A36:R36"/>
    <x:mergeCell ref="A37:R37"/>
    <x:mergeCell ref="A38:R38"/>
    <x:mergeCell ref="A39:R39"/>
    <x:mergeCell ref="A40:R40"/>
    <x:mergeCell ref="A41:R41"/>
    <x:mergeCell ref="A42:R42"/>
    <x:mergeCell ref="A43:R43"/>
    <x:mergeCell ref="A44:R44"/>
    <x:mergeCell ref="A45:R45"/>
    <x:mergeCell ref="A46:R46"/>
    <x:mergeCell ref="A47:R47"/>
    <x:mergeCell ref="A48:R48"/>
    <x:mergeCell ref="A49:R49"/>
    <x:mergeCell ref="A50:R50"/>
    <x:mergeCell ref="A51:R51"/>
    <x:mergeCell ref="A52:R52"/>
    <x:mergeCell ref="A53:R53"/>
    <x:mergeCell ref="A54:R54"/>
    <x:mergeCell ref="A55:R55"/>
    <x:mergeCell ref="A56:R56"/>
    <x:mergeCell ref="A57:R57"/>
    <x:mergeCell ref="A58:R58"/>
    <x:mergeCell ref="A59:R59"/>
    <x:mergeCell ref="A60:R60"/>
    <x:mergeCell ref="A61:R61"/>
    <x:mergeCell ref="A62:R62"/>
    <x:mergeCell ref="A63:R63"/>
    <x:mergeCell ref="A64:R64"/>
    <x:mergeCell ref="A65:R65"/>
    <x:mergeCell ref="A66:R66"/>
    <x:mergeCell ref="A67:R67"/>
    <x:mergeCell ref="A68:R68"/>
    <x:mergeCell ref="A69:R69"/>
    <x:mergeCell ref="A70:R70"/>
    <x:mergeCell ref="A71:R71"/>
    <x:mergeCell ref="A72:R72"/>
    <x:mergeCell ref="A73:R73"/>
    <x:mergeCell ref="A74:R74"/>
    <x:mergeCell ref="A75:R75"/>
  </x:mergeCells>
  <x:pageMargins left="0.7" right="0.7" top="0.75" bottom="0.75" header="0.3" footer="0.3"/>
</x:worksheet>
</file>